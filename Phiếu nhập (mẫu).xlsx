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7c82a1feb7e977/1.Documents/"/>
    </mc:Choice>
  </mc:AlternateContent>
  <xr:revisionPtr revIDLastSave="0" documentId="8_{0823E454-E9F8-4A78-8384-D86EEFD671D5}" xr6:coauthVersionLast="47" xr6:coauthVersionMax="47" xr10:uidLastSave="{00000000-0000-0000-0000-000000000000}"/>
  <bookViews>
    <workbookView xWindow="-108" yWindow="-108" windowWidth="30936" windowHeight="16776" xr2:uid="{02EBB5F6-C83C-42F0-91A9-29E362245EA9}"/>
  </bookViews>
  <sheets>
    <sheet name="Phiếu nhậ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105" i="1" l="1"/>
  <c r="A105" i="1"/>
  <c r="A97" i="1"/>
  <c r="I17" i="1"/>
  <c r="E17" i="1" s="1" a="1"/>
  <c r="E17" i="1" s="1"/>
  <c r="F17" i="1" s="1"/>
  <c r="I16" i="1"/>
  <c r="D16" i="1" s="1" a="1"/>
  <c r="H16" i="1" a="1"/>
  <c r="H16" i="1" s="1"/>
  <c r="E16" i="1" a="1"/>
  <c r="E16" i="1" s="1"/>
  <c r="F16" i="1" s="1"/>
  <c r="D16" i="1"/>
  <c r="A12" i="1"/>
  <c r="A11" i="1"/>
  <c r="A10" i="1"/>
  <c r="A9" i="1"/>
  <c r="G7" i="1"/>
  <c r="G6" i="1"/>
  <c r="A3" i="1"/>
  <c r="A2" i="1"/>
  <c r="A1" i="1"/>
  <c r="I18" i="1" l="1"/>
  <c r="E18" i="1" s="1" a="1"/>
  <c r="E18" i="1" s="1"/>
  <c r="F18" i="1" s="1"/>
  <c r="D17" i="1" a="1"/>
  <c r="D17" i="1" s="1"/>
  <c r="C17" i="1" a="1"/>
  <c r="C17" i="1" s="1"/>
  <c r="B17" i="1" a="1"/>
  <c r="B17" i="1" s="1"/>
  <c r="H17" i="1" a="1"/>
  <c r="H17" i="1" s="1"/>
  <c r="G17" i="1" a="1"/>
  <c r="G17" i="1" s="1"/>
  <c r="G16" i="1" a="1"/>
  <c r="G16" i="1" s="1"/>
  <c r="B16" i="1" a="1"/>
  <c r="B16" i="1" s="1"/>
  <c r="A16" i="1" s="1"/>
  <c r="C16" i="1" a="1"/>
  <c r="C16" i="1" s="1"/>
  <c r="H18" i="1" l="1" a="1"/>
  <c r="H18" i="1" s="1"/>
  <c r="D18" i="1" a="1"/>
  <c r="D18" i="1" s="1"/>
  <c r="B18" i="1" a="1"/>
  <c r="B18" i="1" s="1"/>
  <c r="G18" i="1" a="1"/>
  <c r="G18" i="1" s="1"/>
  <c r="I19" i="1"/>
  <c r="C18" i="1" a="1"/>
  <c r="C18" i="1" s="1"/>
  <c r="A18" i="1"/>
  <c r="A17" i="1"/>
  <c r="E19" i="1" a="1"/>
  <c r="E19" i="1" s="1"/>
  <c r="F19" i="1" s="1"/>
  <c r="D19" i="1" a="1"/>
  <c r="D19" i="1" s="1"/>
  <c r="C19" i="1" a="1"/>
  <c r="C19" i="1" s="1"/>
  <c r="B19" i="1" a="1"/>
  <c r="B19" i="1" s="1"/>
  <c r="A19" i="1" s="1"/>
  <c r="I20" i="1"/>
  <c r="H19" i="1" a="1"/>
  <c r="H19" i="1" s="1"/>
  <c r="G19" i="1" a="1"/>
  <c r="G19" i="1" s="1"/>
  <c r="E20" i="1" l="1" a="1"/>
  <c r="E20" i="1" s="1"/>
  <c r="F20" i="1" s="1"/>
  <c r="D20" i="1" a="1"/>
  <c r="D20" i="1" s="1"/>
  <c r="I21" i="1"/>
  <c r="H20" i="1" a="1"/>
  <c r="H20" i="1" s="1"/>
  <c r="G20" i="1" a="1"/>
  <c r="G20" i="1" s="1"/>
  <c r="C20" i="1" a="1"/>
  <c r="C20" i="1" s="1"/>
  <c r="B20" i="1" a="1"/>
  <c r="B20" i="1" s="1"/>
  <c r="A20" i="1" s="1"/>
  <c r="G21" i="1" l="1" a="1"/>
  <c r="G21" i="1" s="1"/>
  <c r="E21" i="1" a="1"/>
  <c r="E21" i="1" s="1"/>
  <c r="F21" i="1" s="1"/>
  <c r="D21" i="1" a="1"/>
  <c r="D21" i="1" s="1"/>
  <c r="C21" i="1" a="1"/>
  <c r="C21" i="1" s="1"/>
  <c r="B21" i="1" a="1"/>
  <c r="B21" i="1" s="1"/>
  <c r="A21" i="1" s="1"/>
  <c r="I22" i="1"/>
  <c r="H21" i="1" a="1"/>
  <c r="H21" i="1" s="1"/>
  <c r="G22" i="1" l="1" a="1"/>
  <c r="G22" i="1" s="1"/>
  <c r="E22" i="1" a="1"/>
  <c r="E22" i="1" s="1"/>
  <c r="F22" i="1" s="1"/>
  <c r="B22" i="1" a="1"/>
  <c r="B22" i="1" s="1"/>
  <c r="A22" i="1" s="1"/>
  <c r="I23" i="1"/>
  <c r="C22" i="1" a="1"/>
  <c r="C22" i="1" s="1"/>
  <c r="H22" i="1" a="1"/>
  <c r="H22" i="1" s="1"/>
  <c r="D22" i="1" a="1"/>
  <c r="D22" i="1" s="1"/>
  <c r="H23" i="1" l="1" a="1"/>
  <c r="H23" i="1" s="1"/>
  <c r="G23" i="1" a="1"/>
  <c r="G23" i="1" s="1"/>
  <c r="E23" i="1" a="1"/>
  <c r="E23" i="1" s="1"/>
  <c r="F23" i="1" s="1"/>
  <c r="D23" i="1" a="1"/>
  <c r="D23" i="1" s="1"/>
  <c r="B23" i="1" a="1"/>
  <c r="B23" i="1" s="1"/>
  <c r="A23" i="1" s="1"/>
  <c r="C23" i="1" a="1"/>
  <c r="C23" i="1" s="1"/>
  <c r="I24" i="1"/>
  <c r="I25" i="1" l="1"/>
  <c r="H24" i="1" a="1"/>
  <c r="H24" i="1" s="1"/>
  <c r="G24" i="1" a="1"/>
  <c r="G24" i="1" s="1"/>
  <c r="C24" i="1" a="1"/>
  <c r="C24" i="1" s="1"/>
  <c r="B24" i="1" a="1"/>
  <c r="B24" i="1" s="1"/>
  <c r="A24" i="1" s="1"/>
  <c r="E24" i="1" a="1"/>
  <c r="E24" i="1" s="1"/>
  <c r="F24" i="1" s="1"/>
  <c r="D24" i="1" a="1"/>
  <c r="D24" i="1" s="1"/>
  <c r="I26" i="1" l="1"/>
  <c r="H25" i="1" a="1"/>
  <c r="H25" i="1" s="1"/>
  <c r="G25" i="1" a="1"/>
  <c r="G25" i="1" s="1"/>
  <c r="E25" i="1" a="1"/>
  <c r="E25" i="1" s="1"/>
  <c r="F25" i="1" s="1"/>
  <c r="C25" i="1" a="1"/>
  <c r="C25" i="1" s="1"/>
  <c r="D25" i="1" a="1"/>
  <c r="D25" i="1" s="1"/>
  <c r="B25" i="1" a="1"/>
  <c r="B25" i="1" s="1"/>
  <c r="A25" i="1" s="1"/>
  <c r="I27" i="1" l="1"/>
  <c r="H26" i="1" a="1"/>
  <c r="H26" i="1" s="1"/>
  <c r="G26" i="1" a="1"/>
  <c r="G26" i="1" s="1"/>
  <c r="D26" i="1" a="1"/>
  <c r="D26" i="1" s="1"/>
  <c r="C26" i="1" a="1"/>
  <c r="C26" i="1" s="1"/>
  <c r="E26" i="1" a="1"/>
  <c r="E26" i="1" s="1"/>
  <c r="F26" i="1" s="1"/>
  <c r="B26" i="1" a="1"/>
  <c r="B26" i="1" s="1"/>
  <c r="A26" i="1" s="1"/>
  <c r="I28" i="1" l="1"/>
  <c r="H27" i="1" a="1"/>
  <c r="H27" i="1" s="1"/>
  <c r="D27" i="1" a="1"/>
  <c r="D27" i="1" s="1"/>
  <c r="G27" i="1" a="1"/>
  <c r="G27" i="1" s="1"/>
  <c r="B27" i="1" a="1"/>
  <c r="B27" i="1" s="1"/>
  <c r="A27" i="1" s="1"/>
  <c r="E27" i="1" a="1"/>
  <c r="E27" i="1" s="1"/>
  <c r="F27" i="1" s="1"/>
  <c r="C27" i="1" a="1"/>
  <c r="C27" i="1" s="1"/>
  <c r="B28" i="1" l="1" a="1"/>
  <c r="B28" i="1" s="1"/>
  <c r="A28" i="1" s="1"/>
  <c r="I29" i="1"/>
  <c r="H28" i="1" a="1"/>
  <c r="H28" i="1" s="1"/>
  <c r="G28" i="1" a="1"/>
  <c r="G28" i="1" s="1"/>
  <c r="E28" i="1" a="1"/>
  <c r="E28" i="1" s="1"/>
  <c r="F28" i="1" s="1"/>
  <c r="D28" i="1" a="1"/>
  <c r="D28" i="1" s="1"/>
  <c r="C28" i="1" a="1"/>
  <c r="C28" i="1" s="1"/>
  <c r="B29" i="1" l="1" a="1"/>
  <c r="B29" i="1" s="1"/>
  <c r="A29" i="1" s="1"/>
  <c r="I30" i="1"/>
  <c r="E29" i="1" a="1"/>
  <c r="E29" i="1" s="1"/>
  <c r="F29" i="1" s="1"/>
  <c r="D29" i="1" a="1"/>
  <c r="D29" i="1" s="1"/>
  <c r="H29" i="1" a="1"/>
  <c r="H29" i="1" s="1"/>
  <c r="G29" i="1" a="1"/>
  <c r="G29" i="1" s="1"/>
  <c r="C29" i="1" a="1"/>
  <c r="C29" i="1" s="1"/>
  <c r="C30" i="1" l="1" a="1"/>
  <c r="C30" i="1" s="1"/>
  <c r="B30" i="1" a="1"/>
  <c r="B30" i="1" s="1"/>
  <c r="A30" i="1" s="1"/>
  <c r="H30" i="1" a="1"/>
  <c r="H30" i="1" s="1"/>
  <c r="E30" i="1" a="1"/>
  <c r="E30" i="1" s="1"/>
  <c r="F30" i="1" s="1"/>
  <c r="I31" i="1"/>
  <c r="D30" i="1" a="1"/>
  <c r="D30" i="1" s="1"/>
  <c r="G30" i="1" a="1"/>
  <c r="G30" i="1" s="1"/>
  <c r="C31" i="1" l="1" a="1"/>
  <c r="C31" i="1" s="1"/>
  <c r="B31" i="1" a="1"/>
  <c r="B31" i="1" s="1"/>
  <c r="A31" i="1" s="1"/>
  <c r="I32" i="1"/>
  <c r="G31" i="1" a="1"/>
  <c r="G31" i="1" s="1"/>
  <c r="E31" i="1" a="1"/>
  <c r="E31" i="1" s="1"/>
  <c r="F31" i="1" s="1"/>
  <c r="D31" i="1" a="1"/>
  <c r="D31" i="1" s="1"/>
  <c r="H31" i="1" a="1"/>
  <c r="H31" i="1" s="1"/>
  <c r="D32" i="1" l="1" a="1"/>
  <c r="D32" i="1" s="1"/>
  <c r="C32" i="1" a="1"/>
  <c r="C32" i="1" s="1"/>
  <c r="B32" i="1" a="1"/>
  <c r="B32" i="1" s="1"/>
  <c r="A32" i="1" s="1"/>
  <c r="G32" i="1" a="1"/>
  <c r="G32" i="1" s="1"/>
  <c r="E32" i="1" a="1"/>
  <c r="E32" i="1" s="1"/>
  <c r="F32" i="1" s="1"/>
  <c r="I33" i="1"/>
  <c r="H32" i="1" a="1"/>
  <c r="H32" i="1" s="1"/>
  <c r="D33" i="1" l="1" a="1"/>
  <c r="D33" i="1" s="1"/>
  <c r="C33" i="1" a="1"/>
  <c r="C33" i="1" s="1"/>
  <c r="B33" i="1" a="1"/>
  <c r="B33" i="1" s="1"/>
  <c r="A33" i="1" s="1"/>
  <c r="H33" i="1" a="1"/>
  <c r="H33" i="1" s="1"/>
  <c r="G33" i="1" a="1"/>
  <c r="G33" i="1" s="1"/>
  <c r="I34" i="1"/>
  <c r="E33" i="1" a="1"/>
  <c r="E33" i="1" s="1"/>
  <c r="F33" i="1" s="1"/>
  <c r="E34" i="1" l="1" a="1"/>
  <c r="E34" i="1" s="1"/>
  <c r="F34" i="1" s="1"/>
  <c r="D34" i="1" a="1"/>
  <c r="D34" i="1" s="1"/>
  <c r="C34" i="1" a="1"/>
  <c r="C34" i="1" s="1"/>
  <c r="I35" i="1"/>
  <c r="H34" i="1" a="1"/>
  <c r="H34" i="1" s="1"/>
  <c r="G34" i="1" a="1"/>
  <c r="G34" i="1" s="1"/>
  <c r="B34" i="1" a="1"/>
  <c r="B34" i="1" s="1"/>
  <c r="A34" i="1" s="1"/>
  <c r="E35" i="1" l="1" a="1"/>
  <c r="E35" i="1" s="1"/>
  <c r="F35" i="1" s="1"/>
  <c r="D35" i="1" a="1"/>
  <c r="D35" i="1" s="1"/>
  <c r="C35" i="1" a="1"/>
  <c r="C35" i="1" s="1"/>
  <c r="B35" i="1" a="1"/>
  <c r="B35" i="1" s="1"/>
  <c r="A35" i="1" s="1"/>
  <c r="I36" i="1"/>
  <c r="H35" i="1" a="1"/>
  <c r="H35" i="1" s="1"/>
  <c r="G35" i="1" a="1"/>
  <c r="G35" i="1" s="1"/>
  <c r="E36" i="1" l="1" a="1"/>
  <c r="E36" i="1" s="1"/>
  <c r="F36" i="1" s="1"/>
  <c r="D36" i="1" a="1"/>
  <c r="D36" i="1" s="1"/>
  <c r="I37" i="1"/>
  <c r="H36" i="1" a="1"/>
  <c r="H36" i="1" s="1"/>
  <c r="C36" i="1" a="1"/>
  <c r="C36" i="1" s="1"/>
  <c r="B36" i="1" a="1"/>
  <c r="B36" i="1" s="1"/>
  <c r="A36" i="1" s="1"/>
  <c r="G36" i="1" a="1"/>
  <c r="G36" i="1" s="1"/>
  <c r="G37" i="1" l="1" a="1"/>
  <c r="G37" i="1" s="1"/>
  <c r="E37" i="1" a="1"/>
  <c r="E37" i="1" s="1"/>
  <c r="F37" i="1" s="1"/>
  <c r="D37" i="1" a="1"/>
  <c r="D37" i="1" s="1"/>
  <c r="C37" i="1" a="1"/>
  <c r="C37" i="1" s="1"/>
  <c r="H37" i="1" a="1"/>
  <c r="H37" i="1" s="1"/>
  <c r="B37" i="1" a="1"/>
  <c r="B37" i="1" s="1"/>
  <c r="A37" i="1" s="1"/>
  <c r="I38" i="1"/>
  <c r="G38" i="1" l="1" a="1"/>
  <c r="G38" i="1" s="1"/>
  <c r="E38" i="1" a="1"/>
  <c r="E38" i="1" s="1"/>
  <c r="F38" i="1" s="1"/>
  <c r="B38" i="1" a="1"/>
  <c r="B38" i="1" s="1"/>
  <c r="A38" i="1" s="1"/>
  <c r="I39" i="1"/>
  <c r="H38" i="1" a="1"/>
  <c r="H38" i="1" s="1"/>
  <c r="D38" i="1" a="1"/>
  <c r="D38" i="1" s="1"/>
  <c r="C38" i="1" a="1"/>
  <c r="C38" i="1" s="1"/>
  <c r="H39" i="1" l="1" a="1"/>
  <c r="H39" i="1" s="1"/>
  <c r="G39" i="1" a="1"/>
  <c r="G39" i="1" s="1"/>
  <c r="E39" i="1" a="1"/>
  <c r="E39" i="1" s="1"/>
  <c r="F39" i="1" s="1"/>
  <c r="D39" i="1" a="1"/>
  <c r="D39" i="1" s="1"/>
  <c r="B39" i="1" a="1"/>
  <c r="B39" i="1" s="1"/>
  <c r="A39" i="1" s="1"/>
  <c r="I40" i="1"/>
  <c r="C39" i="1" a="1"/>
  <c r="C39" i="1" s="1"/>
  <c r="I41" i="1" l="1"/>
  <c r="H40" i="1" a="1"/>
  <c r="H40" i="1" s="1"/>
  <c r="G40" i="1" a="1"/>
  <c r="G40" i="1" s="1"/>
  <c r="C40" i="1" a="1"/>
  <c r="C40" i="1" s="1"/>
  <c r="B40" i="1" a="1"/>
  <c r="B40" i="1" s="1"/>
  <c r="A40" i="1" s="1"/>
  <c r="E40" i="1" a="1"/>
  <c r="E40" i="1" s="1"/>
  <c r="F40" i="1" s="1"/>
  <c r="D40" i="1" a="1"/>
  <c r="D40" i="1" s="1"/>
  <c r="I42" i="1" l="1"/>
  <c r="H41" i="1" a="1"/>
  <c r="H41" i="1" s="1"/>
  <c r="G41" i="1" a="1"/>
  <c r="G41" i="1" s="1"/>
  <c r="E41" i="1" a="1"/>
  <c r="E41" i="1" s="1"/>
  <c r="F41" i="1" s="1"/>
  <c r="C41" i="1" a="1"/>
  <c r="C41" i="1" s="1"/>
  <c r="D41" i="1" a="1"/>
  <c r="D41" i="1" s="1"/>
  <c r="B41" i="1" a="1"/>
  <c r="B41" i="1" s="1"/>
  <c r="A41" i="1" s="1"/>
  <c r="I43" i="1" l="1"/>
  <c r="H42" i="1" a="1"/>
  <c r="H42" i="1" s="1"/>
  <c r="G42" i="1" a="1"/>
  <c r="G42" i="1" s="1"/>
  <c r="D42" i="1" a="1"/>
  <c r="D42" i="1" s="1"/>
  <c r="C42" i="1" a="1"/>
  <c r="C42" i="1" s="1"/>
  <c r="E42" i="1" a="1"/>
  <c r="E42" i="1" s="1"/>
  <c r="F42" i="1" s="1"/>
  <c r="B42" i="1" a="1"/>
  <c r="B42" i="1" s="1"/>
  <c r="A42" i="1" s="1"/>
  <c r="I44" i="1" l="1"/>
  <c r="H43" i="1" a="1"/>
  <c r="H43" i="1" s="1"/>
  <c r="D43" i="1" a="1"/>
  <c r="D43" i="1" s="1"/>
  <c r="G43" i="1" a="1"/>
  <c r="G43" i="1" s="1"/>
  <c r="E43" i="1" a="1"/>
  <c r="E43" i="1" s="1"/>
  <c r="F43" i="1" s="1"/>
  <c r="C43" i="1" a="1"/>
  <c r="C43" i="1" s="1"/>
  <c r="B43" i="1" a="1"/>
  <c r="B43" i="1" s="1"/>
  <c r="A43" i="1" s="1"/>
  <c r="B44" i="1" l="1" a="1"/>
  <c r="B44" i="1" s="1"/>
  <c r="A44" i="1" s="1"/>
  <c r="I45" i="1"/>
  <c r="H44" i="1" a="1"/>
  <c r="H44" i="1" s="1"/>
  <c r="G44" i="1" a="1"/>
  <c r="G44" i="1" s="1"/>
  <c r="E44" i="1" a="1"/>
  <c r="E44" i="1" s="1"/>
  <c r="F44" i="1" s="1"/>
  <c r="D44" i="1" a="1"/>
  <c r="D44" i="1" s="1"/>
  <c r="C44" i="1" a="1"/>
  <c r="C44" i="1" s="1"/>
  <c r="B45" i="1" l="1" a="1"/>
  <c r="B45" i="1" s="1"/>
  <c r="A45" i="1" s="1"/>
  <c r="I46" i="1"/>
  <c r="H45" i="1" a="1"/>
  <c r="H45" i="1" s="1"/>
  <c r="E45" i="1" a="1"/>
  <c r="E45" i="1" s="1"/>
  <c r="F45" i="1" s="1"/>
  <c r="G45" i="1" a="1"/>
  <c r="G45" i="1" s="1"/>
  <c r="D45" i="1" a="1"/>
  <c r="D45" i="1" s="1"/>
  <c r="C45" i="1" a="1"/>
  <c r="C45" i="1" s="1"/>
  <c r="C46" i="1" l="1"/>
  <c r="B46" i="1" a="1"/>
  <c r="B46" i="1" s="1"/>
  <c r="A46" i="1" s="1"/>
  <c r="I47" i="1"/>
  <c r="G46" i="1" a="1"/>
  <c r="G46" i="1" s="1"/>
  <c r="H46" i="1" a="1"/>
  <c r="H46" i="1" s="1"/>
  <c r="E46" i="1" a="1"/>
  <c r="E46" i="1" s="1"/>
  <c r="F46" i="1" s="1"/>
  <c r="D46" i="1" a="1"/>
  <c r="D46" i="1" s="1"/>
  <c r="D47" i="1" l="1" a="1"/>
  <c r="D47" i="1" s="1"/>
  <c r="C47" i="1" a="1"/>
  <c r="C47" i="1" s="1"/>
  <c r="B47" i="1" a="1"/>
  <c r="B47" i="1" s="1"/>
  <c r="A47" i="1" s="1"/>
  <c r="G47" i="1" a="1"/>
  <c r="G47" i="1" s="1"/>
  <c r="I48" i="1"/>
  <c r="E47" i="1" a="1"/>
  <c r="E47" i="1" s="1"/>
  <c r="F47" i="1" s="1"/>
  <c r="H47" i="1" a="1"/>
  <c r="H47" i="1" s="1"/>
  <c r="D48" i="1" l="1" a="1"/>
  <c r="D48" i="1" s="1"/>
  <c r="C48" i="1" a="1"/>
  <c r="C48" i="1" s="1"/>
  <c r="B48" i="1" a="1"/>
  <c r="B48" i="1" s="1"/>
  <c r="A48" i="1" s="1"/>
  <c r="H48" i="1" a="1"/>
  <c r="H48" i="1" s="1"/>
  <c r="G48" i="1" a="1"/>
  <c r="G48" i="1" s="1"/>
  <c r="I49" i="1"/>
  <c r="E48" i="1" a="1"/>
  <c r="E48" i="1" s="1"/>
  <c r="F48" i="1" s="1"/>
  <c r="E49" i="1" l="1" a="1"/>
  <c r="E49" i="1" s="1"/>
  <c r="F49" i="1" s="1"/>
  <c r="D49" i="1" a="1"/>
  <c r="D49" i="1" s="1"/>
  <c r="C49" i="1" a="1"/>
  <c r="C49" i="1" s="1"/>
  <c r="I50" i="1"/>
  <c r="H49" i="1" a="1"/>
  <c r="H49" i="1" s="1"/>
  <c r="G49" i="1" a="1"/>
  <c r="G49" i="1" s="1"/>
  <c r="B49" i="1" a="1"/>
  <c r="B49" i="1" s="1"/>
  <c r="A49" i="1" s="1"/>
  <c r="E50" i="1" l="1" a="1"/>
  <c r="E50" i="1" s="1"/>
  <c r="F50" i="1" s="1"/>
  <c r="D50" i="1" a="1"/>
  <c r="D50" i="1" s="1"/>
  <c r="C50" i="1" a="1"/>
  <c r="C50" i="1" s="1"/>
  <c r="B50" i="1" a="1"/>
  <c r="B50" i="1" s="1"/>
  <c r="A50" i="1" s="1"/>
  <c r="I51" i="1"/>
  <c r="H50" i="1" a="1"/>
  <c r="H50" i="1" s="1"/>
  <c r="G50" i="1" a="1"/>
  <c r="G50" i="1" s="1"/>
  <c r="E51" i="1" l="1" a="1"/>
  <c r="E51" i="1" s="1"/>
  <c r="F51" i="1" s="1"/>
  <c r="C51" i="1" a="1"/>
  <c r="C51" i="1" s="1"/>
  <c r="D51" i="1" a="1"/>
  <c r="D51" i="1" s="1"/>
  <c r="I52" i="1"/>
  <c r="B51" i="1" a="1"/>
  <c r="B51" i="1" s="1"/>
  <c r="A51" i="1" s="1"/>
  <c r="G51" i="1" a="1"/>
  <c r="G51" i="1" s="1"/>
  <c r="H51" i="1" a="1"/>
  <c r="H51" i="1" s="1"/>
  <c r="G52" i="1" l="1" a="1"/>
  <c r="G52" i="1" s="1"/>
  <c r="E52" i="1" a="1"/>
  <c r="E52" i="1" s="1"/>
  <c r="F52" i="1" s="1"/>
  <c r="D52" i="1" a="1"/>
  <c r="D52" i="1" s="1"/>
  <c r="C52" i="1" a="1"/>
  <c r="C52" i="1" s="1"/>
  <c r="I53" i="1"/>
  <c r="H52" i="1" a="1"/>
  <c r="H52" i="1" s="1"/>
  <c r="B52" i="1" a="1"/>
  <c r="B52" i="1" s="1"/>
  <c r="A52" i="1" s="1"/>
  <c r="G53" i="1" l="1" a="1"/>
  <c r="G53" i="1" s="1"/>
  <c r="E53" i="1" a="1"/>
  <c r="E53" i="1" s="1"/>
  <c r="F53" i="1" s="1"/>
  <c r="D53" i="1" a="1"/>
  <c r="D53" i="1" s="1"/>
  <c r="B53" i="1" a="1"/>
  <c r="B53" i="1" s="1"/>
  <c r="A53" i="1" s="1"/>
  <c r="H53" i="1" a="1"/>
  <c r="H53" i="1" s="1"/>
  <c r="C53" i="1" a="1"/>
  <c r="C53" i="1" s="1"/>
  <c r="I54" i="1"/>
  <c r="H54" i="1" l="1" a="1"/>
  <c r="H54" i="1" s="1"/>
  <c r="G54" i="1" a="1"/>
  <c r="G54" i="1" s="1"/>
  <c r="E54" i="1" a="1"/>
  <c r="E54" i="1" s="1"/>
  <c r="F54" i="1" s="1"/>
  <c r="D54" i="1" a="1"/>
  <c r="D54" i="1" s="1"/>
  <c r="B54" i="1" a="1"/>
  <c r="B54" i="1" s="1"/>
  <c r="A54" i="1" s="1"/>
  <c r="C54" i="1" a="1"/>
  <c r="C54" i="1" s="1"/>
  <c r="I55" i="1"/>
  <c r="I56" i="1" l="1"/>
  <c r="E55" i="1" a="1"/>
  <c r="E55" i="1" s="1"/>
  <c r="F55" i="1" s="1"/>
  <c r="H55" i="1" a="1"/>
  <c r="H55" i="1" s="1"/>
  <c r="G55" i="1" a="1"/>
  <c r="G55" i="1" s="1"/>
  <c r="C55" i="1" a="1"/>
  <c r="C55" i="1" s="1"/>
  <c r="B55" i="1" a="1"/>
  <c r="B55" i="1" s="1"/>
  <c r="A55" i="1" s="1"/>
  <c r="D55" i="1" a="1"/>
  <c r="D55" i="1" s="1"/>
  <c r="I57" i="1" l="1"/>
  <c r="H56" i="1" a="1"/>
  <c r="H56" i="1" s="1"/>
  <c r="G56" i="1" a="1"/>
  <c r="G56" i="1" s="1"/>
  <c r="E56" i="1" a="1"/>
  <c r="E56" i="1" s="1"/>
  <c r="F56" i="1" s="1"/>
  <c r="C56" i="1" a="1"/>
  <c r="C56" i="1" s="1"/>
  <c r="D56" i="1" a="1"/>
  <c r="D56" i="1" s="1"/>
  <c r="B56" i="1" a="1"/>
  <c r="B56" i="1" s="1"/>
  <c r="A56" i="1" s="1"/>
  <c r="I58" i="1" l="1"/>
  <c r="H57" i="1" a="1"/>
  <c r="H57" i="1" s="1"/>
  <c r="G57" i="1" a="1"/>
  <c r="G57" i="1" s="1"/>
  <c r="D57" i="1" a="1"/>
  <c r="D57" i="1" s="1"/>
  <c r="C57" i="1" a="1"/>
  <c r="C57" i="1" s="1"/>
  <c r="B57" i="1" a="1"/>
  <c r="B57" i="1" s="1"/>
  <c r="A57" i="1" s="1"/>
  <c r="E57" i="1" a="1"/>
  <c r="E57" i="1" s="1"/>
  <c r="F57" i="1" s="1"/>
  <c r="G58" i="1" l="1" a="1"/>
  <c r="G58" i="1" s="1"/>
  <c r="I59" i="1"/>
  <c r="H58" i="1" a="1"/>
  <c r="H58" i="1" s="1"/>
  <c r="D58" i="1" a="1"/>
  <c r="D58" i="1" s="1"/>
  <c r="E58" i="1" a="1"/>
  <c r="E58" i="1" s="1"/>
  <c r="F58" i="1" s="1"/>
  <c r="C58" i="1" a="1"/>
  <c r="C58" i="1" s="1"/>
  <c r="B58" i="1" a="1"/>
  <c r="B58" i="1" s="1"/>
  <c r="A58" i="1" s="1"/>
  <c r="B59" i="1" l="1" a="1"/>
  <c r="B59" i="1" s="1"/>
  <c r="A59" i="1" s="1"/>
  <c r="I60" i="1"/>
  <c r="H59" i="1" a="1"/>
  <c r="H59" i="1" s="1"/>
  <c r="G59" i="1" a="1"/>
  <c r="G59" i="1" s="1"/>
  <c r="E59" i="1" a="1"/>
  <c r="E59" i="1" s="1"/>
  <c r="F59" i="1" s="1"/>
  <c r="D59" i="1" a="1"/>
  <c r="D59" i="1" s="1"/>
  <c r="C59" i="1" a="1"/>
  <c r="C59" i="1" s="1"/>
  <c r="B60" i="1" l="1" a="1"/>
  <c r="B60" i="1" s="1"/>
  <c r="A60" i="1" s="1"/>
  <c r="I61" i="1"/>
  <c r="H60" i="1" a="1"/>
  <c r="H60" i="1" s="1"/>
  <c r="E60" i="1" a="1"/>
  <c r="E60" i="1" s="1"/>
  <c r="F60" i="1" s="1"/>
  <c r="D60" i="1" a="1"/>
  <c r="D60" i="1" s="1"/>
  <c r="C60" i="1" a="1"/>
  <c r="C60" i="1" s="1"/>
  <c r="G60" i="1" a="1"/>
  <c r="G60" i="1" s="1"/>
  <c r="C61" i="1" l="1" a="1"/>
  <c r="C61" i="1" s="1"/>
  <c r="B61" i="1" a="1"/>
  <c r="B61" i="1" s="1"/>
  <c r="A61" i="1" s="1"/>
  <c r="I62" i="1"/>
  <c r="H61" i="1" a="1"/>
  <c r="H61" i="1" s="1"/>
  <c r="E61" i="1" a="1"/>
  <c r="E61" i="1" s="1"/>
  <c r="F61" i="1" s="1"/>
  <c r="D61" i="1" a="1"/>
  <c r="D61" i="1" s="1"/>
  <c r="G61" i="1" a="1"/>
  <c r="G61" i="1" s="1"/>
  <c r="C62" i="1" l="1" a="1"/>
  <c r="C62" i="1" s="1"/>
  <c r="B62" i="1" a="1"/>
  <c r="B62" i="1" s="1"/>
  <c r="A62" i="1" s="1"/>
  <c r="I63" i="1"/>
  <c r="G62" i="1" a="1"/>
  <c r="G62" i="1" s="1"/>
  <c r="E62" i="1" a="1"/>
  <c r="E62" i="1" s="1"/>
  <c r="F62" i="1" s="1"/>
  <c r="H62" i="1" a="1"/>
  <c r="H62" i="1" s="1"/>
  <c r="D62" i="1" a="1"/>
  <c r="D62" i="1" s="1"/>
  <c r="D63" i="1" l="1" a="1"/>
  <c r="D63" i="1" s="1"/>
  <c r="C63" i="1" a="1"/>
  <c r="C63" i="1" s="1"/>
  <c r="B63" i="1" a="1"/>
  <c r="B63" i="1" s="1"/>
  <c r="A63" i="1" s="1"/>
  <c r="G63" i="1" a="1"/>
  <c r="G63" i="1" s="1"/>
  <c r="H63" i="1" a="1"/>
  <c r="H63" i="1" s="1"/>
  <c r="E63" i="1" a="1"/>
  <c r="E63" i="1" s="1"/>
  <c r="F63" i="1" s="1"/>
  <c r="I64" i="1"/>
  <c r="D64" i="1" l="1" a="1"/>
  <c r="D64" i="1" s="1"/>
  <c r="C64" i="1" a="1"/>
  <c r="C64" i="1" s="1"/>
  <c r="B64" i="1" a="1"/>
  <c r="B64" i="1" s="1"/>
  <c r="A64" i="1" s="1"/>
  <c r="H64" i="1" a="1"/>
  <c r="H64" i="1" s="1"/>
  <c r="G64" i="1" a="1"/>
  <c r="G64" i="1" s="1"/>
  <c r="I65" i="1"/>
  <c r="E64" i="1" a="1"/>
  <c r="E64" i="1" s="1"/>
  <c r="F64" i="1" s="1"/>
  <c r="E65" i="1" l="1" a="1"/>
  <c r="E65" i="1" s="1"/>
  <c r="F65" i="1" s="1"/>
  <c r="B65" i="1" a="1"/>
  <c r="B65" i="1" s="1"/>
  <c r="A65" i="1" s="1"/>
  <c r="D65" i="1" a="1"/>
  <c r="D65" i="1" s="1"/>
  <c r="C65" i="1" a="1"/>
  <c r="C65" i="1" s="1"/>
  <c r="I66" i="1"/>
  <c r="H65" i="1" a="1"/>
  <c r="H65" i="1" s="1"/>
  <c r="G65" i="1" a="1"/>
  <c r="G65" i="1" s="1"/>
  <c r="E66" i="1" l="1" a="1"/>
  <c r="E66" i="1" s="1"/>
  <c r="F66" i="1" s="1"/>
  <c r="D66" i="1" a="1"/>
  <c r="D66" i="1" s="1"/>
  <c r="C66" i="1" a="1"/>
  <c r="C66" i="1" s="1"/>
  <c r="B66" i="1" a="1"/>
  <c r="B66" i="1" s="1"/>
  <c r="A66" i="1" s="1"/>
  <c r="I67" i="1"/>
  <c r="H66" i="1" a="1"/>
  <c r="H66" i="1" s="1"/>
  <c r="G66" i="1" a="1"/>
  <c r="G66" i="1" s="1"/>
  <c r="E67" i="1" l="1" a="1"/>
  <c r="E67" i="1" s="1"/>
  <c r="F67" i="1" s="1"/>
  <c r="D67" i="1" a="1"/>
  <c r="D67" i="1" s="1"/>
  <c r="C67" i="1" a="1"/>
  <c r="C67" i="1" s="1"/>
  <c r="I68" i="1"/>
  <c r="B67" i="1" a="1"/>
  <c r="B67" i="1" s="1"/>
  <c r="A67" i="1" s="1"/>
  <c r="H67" i="1" a="1"/>
  <c r="H67" i="1" s="1"/>
  <c r="G67" i="1" a="1"/>
  <c r="G67" i="1" s="1"/>
  <c r="G68" i="1" l="1" a="1"/>
  <c r="G68" i="1" s="1"/>
  <c r="E68" i="1" a="1"/>
  <c r="E68" i="1" s="1"/>
  <c r="F68" i="1" s="1"/>
  <c r="D68" i="1" a="1"/>
  <c r="D68" i="1" s="1"/>
  <c r="C68" i="1" a="1"/>
  <c r="C68" i="1" s="1"/>
  <c r="I69" i="1"/>
  <c r="H68" i="1" a="1"/>
  <c r="H68" i="1" s="1"/>
  <c r="B68" i="1" a="1"/>
  <c r="B68" i="1" s="1"/>
  <c r="A68" i="1" s="1"/>
  <c r="G69" i="1" l="1" a="1"/>
  <c r="G69" i="1" s="1"/>
  <c r="E69" i="1" a="1"/>
  <c r="E69" i="1" s="1"/>
  <c r="F69" i="1" s="1"/>
  <c r="D69" i="1" a="1"/>
  <c r="D69" i="1" s="1"/>
  <c r="B69" i="1" a="1"/>
  <c r="B69" i="1" s="1"/>
  <c r="A69" i="1" s="1"/>
  <c r="C69" i="1" a="1"/>
  <c r="C69" i="1" s="1"/>
  <c r="H69" i="1" a="1"/>
  <c r="H69" i="1" s="1"/>
  <c r="I70" i="1"/>
  <c r="H70" i="1" l="1" a="1"/>
  <c r="H70" i="1" s="1"/>
  <c r="G70" i="1" a="1"/>
  <c r="G70" i="1" s="1"/>
  <c r="E70" i="1" a="1"/>
  <c r="E70" i="1" s="1"/>
  <c r="F70" i="1" s="1"/>
  <c r="D70" i="1" a="1"/>
  <c r="D70" i="1" s="1"/>
  <c r="B70" i="1" a="1"/>
  <c r="B70" i="1" s="1"/>
  <c r="A70" i="1" s="1"/>
  <c r="C70" i="1" a="1"/>
  <c r="C70" i="1" s="1"/>
  <c r="I71" i="1"/>
  <c r="I72" i="1" l="1"/>
  <c r="H71" i="1" a="1"/>
  <c r="H71" i="1" s="1"/>
  <c r="G71" i="1" a="1"/>
  <c r="G71" i="1" s="1"/>
  <c r="E71" i="1" a="1"/>
  <c r="E71" i="1" s="1"/>
  <c r="F71" i="1" s="1"/>
  <c r="C71" i="1" a="1"/>
  <c r="C71" i="1" s="1"/>
  <c r="B71" i="1" a="1"/>
  <c r="B71" i="1" s="1"/>
  <c r="A71" i="1" s="1"/>
  <c r="D71" i="1" a="1"/>
  <c r="D71" i="1" s="1"/>
  <c r="I73" i="1" l="1"/>
  <c r="H72" i="1" a="1"/>
  <c r="H72" i="1" s="1"/>
  <c r="G72" i="1" a="1"/>
  <c r="G72" i="1" s="1"/>
  <c r="E72" i="1" a="1"/>
  <c r="E72" i="1" s="1"/>
  <c r="F72" i="1" s="1"/>
  <c r="C72" i="1" a="1"/>
  <c r="C72" i="1" s="1"/>
  <c r="B72" i="1" a="1"/>
  <c r="B72" i="1" s="1"/>
  <c r="A72" i="1" s="1"/>
  <c r="D72" i="1" a="1"/>
  <c r="D72" i="1" s="1"/>
  <c r="I74" i="1" l="1"/>
  <c r="H73" i="1" a="1"/>
  <c r="H73" i="1" s="1"/>
  <c r="G73" i="1" a="1"/>
  <c r="G73" i="1" s="1"/>
  <c r="D73" i="1" a="1"/>
  <c r="D73" i="1" s="1"/>
  <c r="C73" i="1" a="1"/>
  <c r="C73" i="1" s="1"/>
  <c r="E73" i="1" a="1"/>
  <c r="E73" i="1" s="1"/>
  <c r="F73" i="1" s="1"/>
  <c r="B73" i="1" a="1"/>
  <c r="B73" i="1" s="1"/>
  <c r="A73" i="1" s="1"/>
  <c r="G74" i="1" l="1" a="1"/>
  <c r="G74" i="1" s="1"/>
  <c r="I75" i="1"/>
  <c r="H74" i="1" a="1"/>
  <c r="H74" i="1" s="1"/>
  <c r="D74" i="1" a="1"/>
  <c r="D74" i="1" s="1"/>
  <c r="B74" i="1" a="1"/>
  <c r="B74" i="1" s="1"/>
  <c r="A74" i="1" s="1"/>
  <c r="E74" i="1" a="1"/>
  <c r="E74" i="1" s="1"/>
  <c r="F74" i="1" s="1"/>
  <c r="C74" i="1" a="1"/>
  <c r="C74" i="1" s="1"/>
  <c r="B75" i="1" l="1" a="1"/>
  <c r="B75" i="1" s="1"/>
  <c r="A75" i="1" s="1"/>
  <c r="I76" i="1"/>
  <c r="H75" i="1" a="1"/>
  <c r="H75" i="1" s="1"/>
  <c r="G75" i="1" a="1"/>
  <c r="G75" i="1" s="1"/>
  <c r="E75" i="1" a="1"/>
  <c r="E75" i="1" s="1"/>
  <c r="F75" i="1" s="1"/>
  <c r="D75" i="1" a="1"/>
  <c r="D75" i="1" s="1"/>
  <c r="C75" i="1" a="1"/>
  <c r="C75" i="1" s="1"/>
  <c r="B76" i="1" l="1" a="1"/>
  <c r="B76" i="1" s="1"/>
  <c r="A76" i="1" s="1"/>
  <c r="I77" i="1"/>
  <c r="H76" i="1" a="1"/>
  <c r="H76" i="1" s="1"/>
  <c r="E76" i="1" a="1"/>
  <c r="E76" i="1" s="1"/>
  <c r="F76" i="1" s="1"/>
  <c r="G76" i="1" a="1"/>
  <c r="G76" i="1" s="1"/>
  <c r="D76" i="1" a="1"/>
  <c r="D76" i="1" s="1"/>
  <c r="C76" i="1" a="1"/>
  <c r="C76" i="1" s="1"/>
  <c r="C77" i="1" l="1" a="1"/>
  <c r="C77" i="1" s="1"/>
  <c r="B77" i="1" a="1"/>
  <c r="B77" i="1" s="1"/>
  <c r="A77" i="1" s="1"/>
  <c r="I78" i="1"/>
  <c r="H77" i="1" a="1"/>
  <c r="H77" i="1" s="1"/>
  <c r="E77" i="1" a="1"/>
  <c r="E77" i="1" s="1"/>
  <c r="F77" i="1" s="1"/>
  <c r="D77" i="1" a="1"/>
  <c r="D77" i="1" s="1"/>
  <c r="G77" i="1" a="1"/>
  <c r="G77" i="1" s="1"/>
  <c r="C78" i="1" l="1" a="1"/>
  <c r="C78" i="1" s="1"/>
  <c r="B78" i="1" a="1"/>
  <c r="B78" i="1" s="1"/>
  <c r="A78" i="1" s="1"/>
  <c r="I79" i="1"/>
  <c r="G78" i="1" a="1"/>
  <c r="G78" i="1" s="1"/>
  <c r="H78" i="1" a="1"/>
  <c r="H78" i="1" s="1"/>
  <c r="E78" i="1" a="1"/>
  <c r="E78" i="1" s="1"/>
  <c r="F78" i="1" s="1"/>
  <c r="D78" i="1" a="1"/>
  <c r="D78" i="1" s="1"/>
  <c r="D79" i="1" l="1" a="1"/>
  <c r="D79" i="1" s="1"/>
  <c r="C79" i="1" a="1"/>
  <c r="C79" i="1" s="1"/>
  <c r="B79" i="1" a="1"/>
  <c r="B79" i="1" s="1"/>
  <c r="A79" i="1" s="1"/>
  <c r="G79" i="1" a="1"/>
  <c r="G79" i="1" s="1"/>
  <c r="H79" i="1" a="1"/>
  <c r="H79" i="1" s="1"/>
  <c r="I80" i="1"/>
  <c r="E79" i="1" a="1"/>
  <c r="E79" i="1" s="1"/>
  <c r="F79" i="1" s="1"/>
  <c r="D80" i="1" l="1" a="1"/>
  <c r="D80" i="1" s="1"/>
  <c r="C80" i="1" a="1"/>
  <c r="C80" i="1" s="1"/>
  <c r="B80" i="1" a="1"/>
  <c r="B80" i="1" s="1"/>
  <c r="A80" i="1" s="1"/>
  <c r="H80" i="1" a="1"/>
  <c r="H80" i="1" s="1"/>
  <c r="G80" i="1" a="1"/>
  <c r="G80" i="1" s="1"/>
  <c r="E80" i="1" a="1"/>
  <c r="E80" i="1" s="1"/>
  <c r="F80" i="1" s="1"/>
  <c r="I81" i="1"/>
  <c r="E81" i="1" l="1" a="1"/>
  <c r="E81" i="1" s="1"/>
  <c r="F81" i="1" s="1"/>
  <c r="D81" i="1" a="1"/>
  <c r="D81" i="1" s="1"/>
  <c r="C81" i="1" a="1"/>
  <c r="C81" i="1" s="1"/>
  <c r="B81" i="1" a="1"/>
  <c r="B81" i="1" s="1"/>
  <c r="A81" i="1" s="1"/>
  <c r="I82" i="1"/>
  <c r="H81" i="1" a="1"/>
  <c r="H81" i="1" s="1"/>
  <c r="G81" i="1" a="1"/>
  <c r="G81" i="1" s="1"/>
  <c r="E82" i="1" l="1" a="1"/>
  <c r="E82" i="1" s="1"/>
  <c r="F82" i="1" s="1"/>
  <c r="D82" i="1" a="1"/>
  <c r="D82" i="1" s="1"/>
  <c r="C82" i="1" a="1"/>
  <c r="C82" i="1" s="1"/>
  <c r="B82" i="1" a="1"/>
  <c r="B82" i="1" s="1"/>
  <c r="A82" i="1" s="1"/>
  <c r="I83" i="1"/>
  <c r="H82" i="1" a="1"/>
  <c r="H82" i="1" s="1"/>
  <c r="G82" i="1" a="1"/>
  <c r="G82" i="1" s="1"/>
  <c r="E83" i="1" l="1" a="1"/>
  <c r="E83" i="1" s="1"/>
  <c r="F83" i="1" s="1"/>
  <c r="D83" i="1" a="1"/>
  <c r="D83" i="1" s="1"/>
  <c r="C83" i="1" a="1"/>
  <c r="C83" i="1" s="1"/>
  <c r="I84" i="1"/>
  <c r="H83" i="1" a="1"/>
  <c r="H83" i="1" s="1"/>
  <c r="G83" i="1" a="1"/>
  <c r="G83" i="1" s="1"/>
  <c r="B83" i="1" a="1"/>
  <c r="B83" i="1" s="1"/>
  <c r="A83" i="1" s="1"/>
  <c r="G84" i="1" l="1" a="1"/>
  <c r="G84" i="1" s="1"/>
  <c r="E84" i="1" a="1"/>
  <c r="E84" i="1" s="1"/>
  <c r="F84" i="1" s="1"/>
  <c r="D84" i="1" a="1"/>
  <c r="D84" i="1" s="1"/>
  <c r="C84" i="1" a="1"/>
  <c r="C84" i="1" s="1"/>
  <c r="B84" i="1" a="1"/>
  <c r="B84" i="1" s="1"/>
  <c r="A84" i="1" s="1"/>
  <c r="H84" i="1" a="1"/>
  <c r="H84" i="1" s="1"/>
  <c r="I85" i="1"/>
  <c r="G85" i="1" l="1" a="1"/>
  <c r="G85" i="1" s="1"/>
  <c r="E85" i="1" a="1"/>
  <c r="E85" i="1" s="1"/>
  <c r="F85" i="1" s="1"/>
  <c r="D85" i="1" a="1"/>
  <c r="D85" i="1" s="1"/>
  <c r="B85" i="1" a="1"/>
  <c r="B85" i="1" s="1"/>
  <c r="A85" i="1" s="1"/>
  <c r="I86" i="1"/>
  <c r="H85" i="1" a="1"/>
  <c r="H85" i="1" s="1"/>
  <c r="C85" i="1" a="1"/>
  <c r="C85" i="1" s="1"/>
  <c r="H86" i="1" l="1" a="1"/>
  <c r="H86" i="1" s="1"/>
  <c r="G86" i="1" a="1"/>
  <c r="G86" i="1" s="1"/>
  <c r="E86" i="1" a="1"/>
  <c r="E86" i="1" s="1"/>
  <c r="F86" i="1" s="1"/>
  <c r="D86" i="1" a="1"/>
  <c r="D86" i="1" s="1"/>
  <c r="B86" i="1" a="1"/>
  <c r="B86" i="1" s="1"/>
  <c r="A86" i="1" s="1"/>
  <c r="I87" i="1"/>
  <c r="C86" i="1" a="1"/>
  <c r="C86" i="1" s="1"/>
  <c r="I88" i="1" l="1"/>
  <c r="H87" i="1" a="1"/>
  <c r="H87" i="1" s="1"/>
  <c r="G87" i="1" a="1"/>
  <c r="G87" i="1" s="1"/>
  <c r="E87" i="1" a="1"/>
  <c r="E87" i="1" s="1"/>
  <c r="F87" i="1" s="1"/>
  <c r="C87" i="1" a="1"/>
  <c r="C87" i="1" s="1"/>
  <c r="B87" i="1" a="1"/>
  <c r="B87" i="1" s="1"/>
  <c r="A87" i="1" s="1"/>
  <c r="D87" i="1" a="1"/>
  <c r="D87" i="1" s="1"/>
  <c r="I89" i="1" l="1"/>
  <c r="H88" i="1" a="1"/>
  <c r="H88" i="1" s="1"/>
  <c r="G88" i="1" a="1"/>
  <c r="G88" i="1" s="1"/>
  <c r="E88" i="1" a="1"/>
  <c r="E88" i="1" s="1"/>
  <c r="F88" i="1" s="1"/>
  <c r="C88" i="1" a="1"/>
  <c r="C88" i="1" s="1"/>
  <c r="B88" i="1" a="1"/>
  <c r="B88" i="1" s="1"/>
  <c r="A88" i="1" s="1"/>
  <c r="D88" i="1" a="1"/>
  <c r="D88" i="1" s="1"/>
  <c r="I90" i="1" l="1"/>
  <c r="H89" i="1" a="1"/>
  <c r="H89" i="1" s="1"/>
  <c r="G89" i="1" a="1"/>
  <c r="G89" i="1" s="1"/>
  <c r="D89" i="1" a="1"/>
  <c r="D89" i="1" s="1"/>
  <c r="C89" i="1" a="1"/>
  <c r="C89" i="1" s="1"/>
  <c r="E89" i="1" a="1"/>
  <c r="E89" i="1" s="1"/>
  <c r="F89" i="1" s="1"/>
  <c r="B89" i="1" a="1"/>
  <c r="B89" i="1" s="1"/>
  <c r="A89" i="1" s="1"/>
  <c r="I91" i="1" l="1"/>
  <c r="H90" i="1" a="1"/>
  <c r="H90" i="1" s="1"/>
  <c r="G90" i="1" a="1"/>
  <c r="G90" i="1" s="1"/>
  <c r="D90" i="1" a="1"/>
  <c r="D90" i="1" s="1"/>
  <c r="E90" i="1" a="1"/>
  <c r="E90" i="1" s="1"/>
  <c r="F90" i="1" s="1"/>
  <c r="C90" i="1" a="1"/>
  <c r="C90" i="1" s="1"/>
  <c r="B90" i="1" a="1"/>
  <c r="B90" i="1" s="1"/>
  <c r="A90" i="1" s="1"/>
  <c r="B91" i="1" l="1" a="1"/>
  <c r="B91" i="1" s="1"/>
  <c r="A91" i="1" s="1"/>
  <c r="I92" i="1"/>
  <c r="H91" i="1" a="1"/>
  <c r="H91" i="1" s="1"/>
  <c r="G91" i="1" a="1"/>
  <c r="G91" i="1" s="1"/>
  <c r="E91" i="1" a="1"/>
  <c r="E91" i="1" s="1"/>
  <c r="F91" i="1" s="1"/>
  <c r="D91" i="1" a="1"/>
  <c r="D91" i="1" s="1"/>
  <c r="C91" i="1" a="1"/>
  <c r="C91" i="1" s="1"/>
  <c r="B92" i="1" l="1" a="1"/>
  <c r="B92" i="1" s="1"/>
  <c r="A92" i="1" s="1"/>
  <c r="H92" i="1" a="1"/>
  <c r="H92" i="1" s="1"/>
  <c r="I93" i="1"/>
  <c r="E92" i="1" a="1"/>
  <c r="E92" i="1" s="1"/>
  <c r="F92" i="1" s="1"/>
  <c r="D92" i="1" a="1"/>
  <c r="D92" i="1" s="1"/>
  <c r="G92" i="1" a="1"/>
  <c r="G92" i="1" s="1"/>
  <c r="C92" i="1" a="1"/>
  <c r="C92" i="1" s="1"/>
  <c r="C93" i="1" l="1" a="1"/>
  <c r="C93" i="1" s="1"/>
  <c r="B93" i="1" a="1"/>
  <c r="B93" i="1" s="1"/>
  <c r="A93" i="1" s="1"/>
  <c r="I94" i="1"/>
  <c r="H93" i="1" a="1"/>
  <c r="H93" i="1" s="1"/>
  <c r="E93" i="1" a="1"/>
  <c r="E93" i="1" s="1"/>
  <c r="F93" i="1" s="1"/>
  <c r="G93" i="1" a="1"/>
  <c r="G93" i="1" s="1"/>
  <c r="D93" i="1" a="1"/>
  <c r="D93" i="1" s="1"/>
  <c r="C94" i="1" l="1" a="1"/>
  <c r="C94" i="1" s="1"/>
  <c r="B94" i="1" a="1"/>
  <c r="B94" i="1" s="1"/>
  <c r="A94" i="1" s="1"/>
  <c r="I95" i="1"/>
  <c r="G94" i="1" a="1"/>
  <c r="G94" i="1" s="1"/>
  <c r="E94" i="1" a="1"/>
  <c r="E94" i="1" s="1"/>
  <c r="F94" i="1" s="1"/>
  <c r="H94" i="1" a="1"/>
  <c r="H94" i="1" s="1"/>
  <c r="D94" i="1" a="1"/>
  <c r="D94" i="1" s="1"/>
  <c r="D95" i="1" l="1" a="1"/>
  <c r="D95" i="1" s="1"/>
  <c r="C95" i="1" a="1"/>
  <c r="C95" i="1" s="1"/>
  <c r="B95" i="1" a="1"/>
  <c r="B95" i="1" s="1"/>
  <c r="A95" i="1" s="1"/>
  <c r="G95" i="1" a="1"/>
  <c r="G95" i="1" s="1"/>
  <c r="H95" i="1" a="1"/>
  <c r="H95" i="1" s="1"/>
  <c r="H96" i="1" s="1"/>
  <c r="B143" i="1" s="1"/>
  <c r="E95" i="1" a="1"/>
  <c r="E95" i="1" s="1"/>
  <c r="F95" i="1" s="1"/>
  <c r="C143" i="1" l="1"/>
  <c r="K129" i="1" l="1"/>
  <c r="J129" i="1"/>
  <c r="I144" i="1"/>
  <c r="H144" i="1"/>
  <c r="G144" i="1"/>
  <c r="F144" i="1"/>
  <c r="E144" i="1"/>
  <c r="O129" i="1"/>
  <c r="O131" i="1" s="1"/>
  <c r="N129" i="1"/>
  <c r="D144" i="1"/>
  <c r="L129" i="1"/>
  <c r="M129" i="1"/>
  <c r="F145" i="1" l="1"/>
  <c r="E145" i="1"/>
  <c r="D145" i="1"/>
  <c r="D147" i="1"/>
  <c r="D146" i="1"/>
  <c r="G147" i="1"/>
  <c r="I145" i="1"/>
  <c r="I147" i="1" s="1"/>
  <c r="G145" i="1"/>
  <c r="G146" i="1"/>
  <c r="H145" i="1"/>
  <c r="L131" i="1"/>
  <c r="L132" i="1"/>
  <c r="H147" i="1"/>
  <c r="H146" i="1"/>
  <c r="F147" i="1"/>
  <c r="F146" i="1"/>
  <c r="I146" i="1"/>
  <c r="J131" i="1"/>
  <c r="K130" i="1"/>
  <c r="J130" i="1"/>
  <c r="J132" i="1"/>
  <c r="L130" i="1"/>
  <c r="M131" i="1"/>
  <c r="O130" i="1"/>
  <c r="N130" i="1"/>
  <c r="M132" i="1"/>
  <c r="M130" i="1"/>
  <c r="N131" i="1"/>
  <c r="N132" i="1"/>
  <c r="E147" i="1"/>
  <c r="E146" i="1"/>
  <c r="K131" i="1"/>
  <c r="K132" i="1"/>
  <c r="D148" i="1" l="1"/>
  <c r="A98" i="1" s="1"/>
</calcChain>
</file>

<file path=xl/sharedStrings.xml><?xml version="1.0" encoding="utf-8"?>
<sst xmlns="http://schemas.openxmlformats.org/spreadsheetml/2006/main" count="27" uniqueCount="27">
  <si>
    <t xml:space="preserve">                   PHIẾU  NHẬP  KHO</t>
  </si>
  <si>
    <t>Nợ TK:</t>
  </si>
  <si>
    <t>Ngày   12    tháng    11    năm   2025</t>
  </si>
  <si>
    <t>Có TK:</t>
  </si>
  <si>
    <t>Số:</t>
  </si>
  <si>
    <t>PN001/12.25</t>
  </si>
  <si>
    <t>STT</t>
  </si>
  <si>
    <t>Tên nhãn hiệu,qui cách, phẩm chất vật  tư (sản phẩm,hàng hoá)</t>
  </si>
  <si>
    <t>Mã 
Vật Tư</t>
  </si>
  <si>
    <t>Đơn  vị  
tính</t>
  </si>
  <si>
    <t xml:space="preserve">Số lượng  </t>
  </si>
  <si>
    <t>Đơn giá</t>
  </si>
  <si>
    <t>Thành  tiền</t>
  </si>
  <si>
    <t>Ghi
 chú</t>
  </si>
  <si>
    <t>Theo chúng từ</t>
  </si>
  <si>
    <t>Thực 
Nhập</t>
  </si>
  <si>
    <t>A</t>
  </si>
  <si>
    <t>B</t>
  </si>
  <si>
    <t>C</t>
  </si>
  <si>
    <t>D</t>
  </si>
  <si>
    <t>Cộng</t>
  </si>
  <si>
    <r>
      <rPr>
        <b/>
        <sz val="12"/>
        <color theme="1"/>
        <rFont val="Times New Roman"/>
        <family val="1"/>
      </rPr>
      <t>Người lập phiếu</t>
    </r>
    <r>
      <rPr>
        <sz val="12"/>
        <color theme="1"/>
        <rFont val="Times New Roman"/>
        <family val="1"/>
      </rPr>
      <t xml:space="preserve">
(Ký,họ tên)</t>
    </r>
  </si>
  <si>
    <r>
      <rPr>
        <b/>
        <sz val="12"/>
        <color theme="1"/>
        <rFont val="Times New Roman"/>
        <family val="1"/>
      </rPr>
      <t>Người nhận hàng</t>
    </r>
    <r>
      <rPr>
        <sz val="12"/>
        <color theme="1"/>
        <rFont val="Times New Roman"/>
        <family val="1"/>
      </rPr>
      <t xml:space="preserve">
(Ký,họ tên)</t>
    </r>
  </si>
  <si>
    <r>
      <rPr>
        <b/>
        <sz val="12"/>
        <color theme="1"/>
        <rFont val="Times New Roman"/>
        <family val="1"/>
      </rPr>
      <t>Thủ kho</t>
    </r>
    <r>
      <rPr>
        <sz val="12"/>
        <color theme="1"/>
        <rFont val="Times New Roman"/>
        <family val="1"/>
      </rPr>
      <t xml:space="preserve">
(Ký,họ tên)</t>
    </r>
  </si>
  <si>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 xml:space="preserve"> Giám đốc</t>
    </r>
    <r>
      <rPr>
        <sz val="12"/>
        <color theme="1"/>
        <rFont val="Times New Roman"/>
        <family val="1"/>
      </rPr>
      <t xml:space="preserve">
 (Ký,họ tên)</t>
    </r>
  </si>
  <si>
    <t>đồng.</t>
  </si>
  <si>
    <t>CHƯƠNG TRÌNH ĐỌC SỐ PHIẾU THU _ PHIẾU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</si>
</sst>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7">
    <font>
      <sz val="11"/>
      <color theme="1"/>
      <name val="Aptos Narrow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0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Helvetica Neue"/>
    </font>
    <font>
      <b/>
      <sz val="10"/>
      <color theme="1"/>
      <name val="Helvetica Neue"/>
    </font>
    <font>
      <sz val="10"/>
      <color theme="1"/>
      <name val="Helvetica Neue"/>
    </font>
    <font>
      <i/>
      <sz val="11"/>
      <color theme="1"/>
      <name val="Helvetica Neue"/>
    </font>
    <font>
      <i/>
      <sz val="11"/>
      <color rgb="FF3366FF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0" borderId="4" xfId="0" applyFont="1" applyBorder="1"/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/>
    <xf numFmtId="164" fontId="10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5" fontId="1" fillId="0" borderId="7" xfId="0" applyNumberFormat="1" applyFont="1" applyBorder="1"/>
    <xf numFmtId="164" fontId="2" fillId="0" borderId="7" xfId="0" applyNumberFormat="1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11" fillId="0" borderId="0" xfId="0" applyFont="1"/>
    <xf numFmtId="0" fontId="11" fillId="0" borderId="10" xfId="0" applyFont="1" applyBorder="1"/>
    <xf numFmtId="0" fontId="11" fillId="0" borderId="0" xfId="0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0" xfId="0" applyFont="1"/>
    <xf numFmtId="165" fontId="13" fillId="0" borderId="0" xfId="0" applyNumberFormat="1" applyFont="1"/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704850</xdr:colOff>
      <xdr:row>0</xdr:row>
      <xdr:rowOff>28575</xdr:rowOff>
    </xdr:from>
    <xdr:ext cx="2381250" cy="857250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2B4B9468-D422-492E-8C35-BD596D441839}"/>
            </a:ext>
          </a:extLst>
        </xdr:cNvPr>
        <xdr:cNvSpPr/>
      </xdr:nvSpPr>
      <xdr:spPr>
        <a:xfrm>
          <a:off x="5840730" y="28575"/>
          <a:ext cx="2381250" cy="8572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Mẫu số :  02 -  VT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(Ban hành theo QĐ 15/2006/QĐ-BTC ngày 20/03/2006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của Bộ Trưởng Bộ Tài Chính)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chh\AppData\Local\Temp\Zalo%20Temp\TempDownloads\Theo%20do&#771;i%20kho%20tong020426%20(Repaired)%20(Autosaved).xlsx" TargetMode="External"/><Relationship Id="rId1" Type="http://schemas.openxmlformats.org/officeDocument/2006/relationships/externalLinkPath" Target="file:///C:\Users\machh\AppData\Local\Temp\Zalo%20Temp\TempDownloads\Theo%20do&#771;i%20kho%20tong020426%20(Repaired)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endar"/>
      <sheetName val="ThongtinDN"/>
      <sheetName val="Tong hop"/>
      <sheetName val="Nhập"/>
      <sheetName val="Xuat"/>
      <sheetName val="Phieu nhap"/>
      <sheetName val="Phieu xuat"/>
      <sheetName val="DMKH"/>
    </sheetNames>
    <sheetDataSet>
      <sheetData sheetId="0"/>
      <sheetData sheetId="1">
        <row r="5">
          <cell r="B5" t="str">
            <v xml:space="preserve">Tên đơn vị: </v>
          </cell>
          <cell r="C5" t="str">
            <v>CÔNG TY TNHH JOY WORLD ENTERTAINMENT</v>
          </cell>
        </row>
        <row r="6">
          <cell r="B6" t="str">
            <v>Địa chỉ:</v>
          </cell>
          <cell r="C6" t="str">
            <v>154A Đường Nguyễn Thị Thập, Phường Tân Thuận, Tp.HCM</v>
          </cell>
        </row>
        <row r="7">
          <cell r="B7" t="str">
            <v xml:space="preserve">MST: </v>
          </cell>
          <cell r="C7" t="str">
            <v>0318958531</v>
          </cell>
        </row>
        <row r="8">
          <cell r="C8" t="str">
            <v>TRẦN LỆ LAN</v>
          </cell>
        </row>
      </sheetData>
      <sheetData sheetId="2"/>
      <sheetData sheetId="3">
        <row r="11">
          <cell r="A11" t="str">
            <v>PN001/12.25</v>
          </cell>
          <cell r="B11">
            <v>205</v>
          </cell>
          <cell r="C11" t="str">
            <v>30/11/2025</v>
          </cell>
          <cell r="J11" t="str">
            <v>JWG0001</v>
          </cell>
          <cell r="K11" t="str">
            <v>Nhãn dán Công viên giải trí</v>
          </cell>
          <cell r="L11" t="str">
            <v>Cái</v>
          </cell>
          <cell r="M11">
            <v>2800</v>
          </cell>
          <cell r="N11">
            <v>2142.6615000000002</v>
          </cell>
          <cell r="O11">
            <v>5999452.2000000002</v>
          </cell>
        </row>
        <row r="12">
          <cell r="A12" t="str">
            <v>PN001/12.25</v>
          </cell>
          <cell r="B12">
            <v>205</v>
          </cell>
          <cell r="C12" t="str">
            <v>30/11/2025</v>
          </cell>
          <cell r="J12" t="str">
            <v>JWG0002</v>
          </cell>
          <cell r="K12" t="str">
            <v>Đồng xu kỷ niệm độc quyền B.Duck</v>
          </cell>
          <cell r="L12" t="str">
            <v>Cái</v>
          </cell>
          <cell r="M12">
            <v>1500</v>
          </cell>
          <cell r="N12">
            <v>9258.5115000000005</v>
          </cell>
          <cell r="O12">
            <v>13887767.25</v>
          </cell>
        </row>
        <row r="13">
          <cell r="A13" t="str">
            <v>PN001/12.25</v>
          </cell>
          <cell r="B13">
            <v>205</v>
          </cell>
          <cell r="C13" t="str">
            <v>30/11/2025</v>
          </cell>
          <cell r="J13" t="str">
            <v>JWG0003</v>
          </cell>
          <cell r="K13" t="str">
            <v>Hộp đựng đồng xu kỷ niệm</v>
          </cell>
          <cell r="L13" t="str">
            <v>Cái</v>
          </cell>
          <cell r="M13">
            <v>1500</v>
          </cell>
          <cell r="N13">
            <v>9258.5115000000005</v>
          </cell>
          <cell r="O13">
            <v>13887767.25</v>
          </cell>
        </row>
        <row r="14">
          <cell r="A14" t="str">
            <v>PN001/12.25</v>
          </cell>
          <cell r="B14">
            <v>205</v>
          </cell>
          <cell r="C14" t="str">
            <v>30/11/2025</v>
          </cell>
          <cell r="J14" t="str">
            <v>JWG0004</v>
          </cell>
          <cell r="K14" t="str">
            <v>Thẻ đánh dấu sách độc quyền</v>
          </cell>
          <cell r="L14" t="str">
            <v>Cái</v>
          </cell>
          <cell r="M14">
            <v>2000</v>
          </cell>
          <cell r="N14">
            <v>740.57550000000003</v>
          </cell>
          <cell r="O14">
            <v>1481151</v>
          </cell>
        </row>
        <row r="15">
          <cell r="A15" t="str">
            <v>PN001/12.25</v>
          </cell>
          <cell r="B15">
            <v>205</v>
          </cell>
          <cell r="C15" t="str">
            <v>30/11/2025</v>
          </cell>
          <cell r="J15" t="str">
            <v>JWG0005</v>
          </cell>
          <cell r="K15" t="str">
            <v>Nam châm tủ lạnh độc quyền B.Duck</v>
          </cell>
          <cell r="L15" t="str">
            <v>Cái</v>
          </cell>
          <cell r="M15">
            <v>1500</v>
          </cell>
          <cell r="N15">
            <v>8146.3305</v>
          </cell>
          <cell r="O15">
            <v>12219495.75</v>
          </cell>
        </row>
        <row r="16">
          <cell r="A16" t="str">
            <v>PN001/12.25</v>
          </cell>
          <cell r="B16">
            <v>205</v>
          </cell>
          <cell r="C16" t="str">
            <v>30/11/2025</v>
          </cell>
          <cell r="J16" t="str">
            <v>JWG0006</v>
          </cell>
          <cell r="K16" t="str">
            <v>Bong bóng cài tóc / Băng đô bong bóng</v>
          </cell>
          <cell r="L16" t="str">
            <v>Cái</v>
          </cell>
          <cell r="M16">
            <v>3000</v>
          </cell>
          <cell r="N16">
            <v>1112.181</v>
          </cell>
          <cell r="O16">
            <v>3336543</v>
          </cell>
        </row>
        <row r="17">
          <cell r="A17" t="str">
            <v>PN001/12.25</v>
          </cell>
          <cell r="B17">
            <v>205</v>
          </cell>
          <cell r="C17" t="str">
            <v>30/11/2025</v>
          </cell>
          <cell r="J17" t="str">
            <v>JWG0007</v>
          </cell>
          <cell r="K17" t="str">
            <v>Bong bóng ba lô</v>
          </cell>
          <cell r="L17" t="str">
            <v>Cái</v>
          </cell>
          <cell r="M17">
            <v>4000</v>
          </cell>
          <cell r="N17">
            <v>1665.636</v>
          </cell>
          <cell r="O17">
            <v>6662544</v>
          </cell>
        </row>
        <row r="18">
          <cell r="A18" t="str">
            <v>PN001/12.25</v>
          </cell>
          <cell r="B18">
            <v>205</v>
          </cell>
          <cell r="C18" t="str">
            <v>30/11/2025</v>
          </cell>
          <cell r="J18" t="str">
            <v>JWG0008</v>
          </cell>
          <cell r="K18" t="str">
            <v>Huy hiệu thiếc B.Duck</v>
          </cell>
          <cell r="L18" t="str">
            <v>Cái</v>
          </cell>
          <cell r="M18">
            <v>2000</v>
          </cell>
          <cell r="N18">
            <v>1852.7565</v>
          </cell>
          <cell r="O18">
            <v>3705513</v>
          </cell>
        </row>
        <row r="19">
          <cell r="A19" t="str">
            <v>PN001/12.25</v>
          </cell>
          <cell r="B19">
            <v>205</v>
          </cell>
          <cell r="C19" t="str">
            <v>30/11/2025</v>
          </cell>
          <cell r="J19" t="str">
            <v>JWG0009</v>
          </cell>
          <cell r="K19" t="str">
            <v>Sổ tay (kiểu Hộ chiếu)</v>
          </cell>
          <cell r="L19" t="str">
            <v>Cái</v>
          </cell>
          <cell r="M19">
            <v>8000</v>
          </cell>
          <cell r="N19">
            <v>1296.6659999999999</v>
          </cell>
          <cell r="O19">
            <v>10373328</v>
          </cell>
        </row>
        <row r="20">
          <cell r="A20" t="str">
            <v>PN001/12.25</v>
          </cell>
          <cell r="B20">
            <v>205</v>
          </cell>
          <cell r="C20" t="str">
            <v>30/11/2025</v>
          </cell>
          <cell r="J20" t="str">
            <v>JWG0010</v>
          </cell>
          <cell r="K20" t="str">
            <v>Huy hiệu hợp kim kẽm</v>
          </cell>
          <cell r="L20" t="str">
            <v>Cái</v>
          </cell>
          <cell r="M20">
            <v>1500</v>
          </cell>
          <cell r="N20">
            <v>9258.5115000000005</v>
          </cell>
          <cell r="O20">
            <v>13887767.25</v>
          </cell>
        </row>
        <row r="21">
          <cell r="A21" t="str">
            <v>PN001/12.25</v>
          </cell>
          <cell r="B21">
            <v>205</v>
          </cell>
          <cell r="C21" t="str">
            <v>30/11/2025</v>
          </cell>
          <cell r="J21" t="str">
            <v>JWG0011</v>
          </cell>
          <cell r="K21" t="str">
            <v>Vịt lăn chạy bằng quán tính</v>
          </cell>
          <cell r="L21" t="str">
            <v>Cái</v>
          </cell>
          <cell r="M21">
            <v>720</v>
          </cell>
          <cell r="N21">
            <v>9258.5115000000005</v>
          </cell>
          <cell r="O21">
            <v>6666128.2800000003</v>
          </cell>
        </row>
        <row r="22">
          <cell r="A22" t="str">
            <v>PN001/12.25</v>
          </cell>
          <cell r="B22">
            <v>205</v>
          </cell>
          <cell r="C22" t="str">
            <v>30/11/2025</v>
          </cell>
          <cell r="J22" t="str">
            <v>JWG0012</v>
          </cell>
          <cell r="K22" t="str">
            <v>Thú bông trang trí treo gương</v>
          </cell>
          <cell r="L22" t="str">
            <v>Cái</v>
          </cell>
          <cell r="M22">
            <v>146</v>
          </cell>
          <cell r="N22">
            <v>14811.51</v>
          </cell>
          <cell r="O22">
            <v>2162480.46</v>
          </cell>
        </row>
        <row r="23">
          <cell r="A23" t="str">
            <v>PN001/12.25</v>
          </cell>
          <cell r="B23">
            <v>205</v>
          </cell>
          <cell r="C23" t="str">
            <v>30/11/2025</v>
          </cell>
          <cell r="J23" t="str">
            <v>JWG0013</v>
          </cell>
          <cell r="K23" t="str">
            <v>Ván trượt 17 inch</v>
          </cell>
          <cell r="L23" t="str">
            <v>Cái</v>
          </cell>
          <cell r="M23">
            <v>144</v>
          </cell>
          <cell r="N23">
            <v>20367.144</v>
          </cell>
          <cell r="O23">
            <v>2932868.736</v>
          </cell>
        </row>
        <row r="24">
          <cell r="A24" t="str">
            <v>PN001/12.25</v>
          </cell>
          <cell r="B24">
            <v>205</v>
          </cell>
          <cell r="C24" t="str">
            <v>30/11/2025</v>
          </cell>
          <cell r="J24" t="str">
            <v>JWG0014</v>
          </cell>
          <cell r="K24" t="str">
            <v>Trang phục linh vật</v>
          </cell>
          <cell r="L24" t="str">
            <v>Cái</v>
          </cell>
          <cell r="M24">
            <v>1</v>
          </cell>
          <cell r="N24">
            <v>5438090.7000000002</v>
          </cell>
          <cell r="O24">
            <v>5438090.7000000002</v>
          </cell>
        </row>
        <row r="25">
          <cell r="A25" t="str">
            <v>PN001/12.25</v>
          </cell>
          <cell r="B25">
            <v>205</v>
          </cell>
          <cell r="C25" t="str">
            <v>30/11/2025</v>
          </cell>
          <cell r="J25" t="str">
            <v>JWG0015</v>
          </cell>
          <cell r="K25" t="str">
            <v>Đàn Ukulele</v>
          </cell>
          <cell r="L25" t="str">
            <v>Cái</v>
          </cell>
          <cell r="M25">
            <v>288</v>
          </cell>
          <cell r="N25">
            <v>12961.388999999999</v>
          </cell>
          <cell r="O25">
            <v>3732880.0319999997</v>
          </cell>
        </row>
        <row r="26">
          <cell r="A26" t="str">
            <v>PN001/12.25</v>
          </cell>
          <cell r="B26">
            <v>205</v>
          </cell>
          <cell r="C26" t="str">
            <v>30/11/2025</v>
          </cell>
          <cell r="J26" t="str">
            <v>JWG0016</v>
          </cell>
          <cell r="K26" t="str">
            <v>Hộp đựng tiền/Ống heo hình Khủng long</v>
          </cell>
          <cell r="L26" t="str">
            <v>Cái</v>
          </cell>
          <cell r="M26">
            <v>40</v>
          </cell>
          <cell r="N26">
            <v>12961.388999999999</v>
          </cell>
          <cell r="O26">
            <v>518455.55999999994</v>
          </cell>
        </row>
        <row r="27">
          <cell r="A27" t="str">
            <v>PN001/12.25</v>
          </cell>
          <cell r="B27">
            <v>205</v>
          </cell>
          <cell r="C27" t="str">
            <v>30/11/2025</v>
          </cell>
          <cell r="J27" t="str">
            <v>JWG0017</v>
          </cell>
          <cell r="K27" t="str">
            <v>Vòng quay ném bóng rổ vui nhộn (5 tầng)</v>
          </cell>
          <cell r="L27" t="str">
            <v>Cái</v>
          </cell>
          <cell r="M27">
            <v>120</v>
          </cell>
          <cell r="N27">
            <v>11108.6325</v>
          </cell>
          <cell r="O27">
            <v>1333035.8999999999</v>
          </cell>
        </row>
        <row r="28">
          <cell r="A28" t="str">
            <v>PN001/12.25</v>
          </cell>
          <cell r="B28">
            <v>205</v>
          </cell>
          <cell r="C28" t="str">
            <v>30/11/2025</v>
          </cell>
          <cell r="J28" t="str">
            <v>JWG0018</v>
          </cell>
          <cell r="K28" t="str">
            <v>Dây nhảy cán tre B.Duck</v>
          </cell>
          <cell r="L28" t="str">
            <v>Cái</v>
          </cell>
          <cell r="M28">
            <v>36</v>
          </cell>
          <cell r="N28">
            <v>7405.7550000000001</v>
          </cell>
          <cell r="O28">
            <v>266607.18</v>
          </cell>
        </row>
        <row r="29">
          <cell r="A29" t="str">
            <v>PN001/12.25</v>
          </cell>
          <cell r="B29">
            <v>205</v>
          </cell>
          <cell r="C29" t="str">
            <v>30/11/2025</v>
          </cell>
          <cell r="J29" t="str">
            <v>JWG0019</v>
          </cell>
          <cell r="K29" t="str">
            <v>Khung ảnh B.Duck series Xingfan Xiangyang (198pcs)</v>
          </cell>
          <cell r="L29" t="str">
            <v>Cái</v>
          </cell>
          <cell r="M29">
            <v>192</v>
          </cell>
          <cell r="N29">
            <v>11108.6325</v>
          </cell>
          <cell r="O29">
            <v>2132857.44</v>
          </cell>
        </row>
        <row r="30">
          <cell r="A30" t="str">
            <v>PN001/12.25</v>
          </cell>
          <cell r="B30">
            <v>205</v>
          </cell>
          <cell r="C30" t="str">
            <v>30/11/2025</v>
          </cell>
          <cell r="J30" t="str">
            <v>JWG0020</v>
          </cell>
          <cell r="K30" t="str">
            <v>Súng nước ba lô hình vịt toàn thân</v>
          </cell>
          <cell r="L30" t="str">
            <v>Cái</v>
          </cell>
          <cell r="M30">
            <v>180</v>
          </cell>
          <cell r="N30">
            <v>11108.6325</v>
          </cell>
          <cell r="O30">
            <v>1999553.8499999999</v>
          </cell>
        </row>
        <row r="31">
          <cell r="A31" t="str">
            <v>PN001/12.25</v>
          </cell>
          <cell r="B31">
            <v>205</v>
          </cell>
          <cell r="C31" t="str">
            <v>30/11/2025</v>
          </cell>
          <cell r="J31" t="str">
            <v>JWG0021</v>
          </cell>
          <cell r="K31" t="str">
            <v>Bộ đồ chơi Cầu trượt thang công viên giải trí</v>
          </cell>
          <cell r="L31" t="str">
            <v>Cái</v>
          </cell>
          <cell r="M31">
            <v>144</v>
          </cell>
          <cell r="N31">
            <v>11108.6325</v>
          </cell>
          <cell r="O31">
            <v>1599643.08</v>
          </cell>
        </row>
        <row r="32">
          <cell r="A32" t="str">
            <v>PN001/12.25</v>
          </cell>
          <cell r="B32">
            <v>205</v>
          </cell>
          <cell r="C32" t="str">
            <v>30/11/2025</v>
          </cell>
          <cell r="J32" t="str">
            <v>JWG0022</v>
          </cell>
          <cell r="K32" t="str">
            <v>Ống nhòm</v>
          </cell>
          <cell r="L32" t="str">
            <v>Cái</v>
          </cell>
          <cell r="M32">
            <v>60</v>
          </cell>
          <cell r="N32">
            <v>11108.6325</v>
          </cell>
          <cell r="O32">
            <v>666517.94999999995</v>
          </cell>
        </row>
        <row r="33">
          <cell r="A33" t="str">
            <v>PN001/12.25</v>
          </cell>
          <cell r="B33">
            <v>205</v>
          </cell>
          <cell r="C33" t="str">
            <v>30/11/2025</v>
          </cell>
          <cell r="J33" t="str">
            <v>JWG0023</v>
          </cell>
          <cell r="K33" t="str">
            <v>Bảng bóng rổ trẻ em</v>
          </cell>
          <cell r="L33" t="str">
            <v>Cái</v>
          </cell>
          <cell r="M33">
            <v>96</v>
          </cell>
          <cell r="N33">
            <v>1852.7565</v>
          </cell>
          <cell r="O33">
            <v>177864.62400000001</v>
          </cell>
        </row>
        <row r="34">
          <cell r="A34" t="str">
            <v>PN001/12.25</v>
          </cell>
          <cell r="B34">
            <v>205</v>
          </cell>
          <cell r="C34" t="str">
            <v>30/11/2025</v>
          </cell>
          <cell r="J34" t="str">
            <v>JWG0024</v>
          </cell>
          <cell r="K34" t="str">
            <v>Máy chơi game xếp gạch cầm tay</v>
          </cell>
          <cell r="L34" t="str">
            <v>Cái</v>
          </cell>
          <cell r="M34">
            <v>216</v>
          </cell>
          <cell r="N34">
            <v>7405.7550000000001</v>
          </cell>
          <cell r="O34">
            <v>1599643.08</v>
          </cell>
        </row>
        <row r="35">
          <cell r="A35" t="str">
            <v>PN001/12.25</v>
          </cell>
          <cell r="B35">
            <v>205</v>
          </cell>
          <cell r="C35" t="str">
            <v>30/11/2025</v>
          </cell>
          <cell r="J35" t="str">
            <v>JWG0025</v>
          </cell>
          <cell r="K35" t="str">
            <v>Đĩa (hình) Bánh gạo nếp</v>
          </cell>
          <cell r="L35" t="str">
            <v>Cái</v>
          </cell>
          <cell r="M35">
            <v>288</v>
          </cell>
          <cell r="N35">
            <v>9258.5115000000005</v>
          </cell>
          <cell r="O35">
            <v>2666451.3119999999</v>
          </cell>
        </row>
        <row r="36">
          <cell r="A36" t="str">
            <v>PN001/12.25</v>
          </cell>
          <cell r="B36">
            <v>205</v>
          </cell>
          <cell r="C36" t="str">
            <v>30/11/2025</v>
          </cell>
          <cell r="J36" t="str">
            <v>JWG0026</v>
          </cell>
          <cell r="K36" t="str">
            <v>Đồ chơi câu cá bằng điện</v>
          </cell>
          <cell r="L36" t="str">
            <v>Cái</v>
          </cell>
          <cell r="M36">
            <v>192</v>
          </cell>
          <cell r="N36">
            <v>11108.6325</v>
          </cell>
          <cell r="O36">
            <v>2132857.44</v>
          </cell>
        </row>
        <row r="37">
          <cell r="A37" t="str">
            <v>PN001/12.25</v>
          </cell>
          <cell r="B37">
            <v>205</v>
          </cell>
          <cell r="C37" t="str">
            <v>30/11/2025</v>
          </cell>
          <cell r="J37" t="str">
            <v>JWG0027</v>
          </cell>
          <cell r="K37" t="str">
            <v>Máy ảnh bong bóng cầm tay bằng điện</v>
          </cell>
          <cell r="L37" t="str">
            <v>Cái</v>
          </cell>
          <cell r="M37">
            <v>216</v>
          </cell>
          <cell r="N37">
            <v>7405.7550000000001</v>
          </cell>
          <cell r="O37">
            <v>1599643.08</v>
          </cell>
        </row>
        <row r="38">
          <cell r="A38" t="str">
            <v>PN001/12.25</v>
          </cell>
          <cell r="B38">
            <v>205</v>
          </cell>
          <cell r="C38" t="str">
            <v>30/11/2025</v>
          </cell>
          <cell r="J38" t="str">
            <v>JWG0028</v>
          </cell>
          <cell r="K38" t="str">
            <v>Móc khóa xả stress bóp bong bóng</v>
          </cell>
          <cell r="L38" t="str">
            <v>Cái</v>
          </cell>
          <cell r="M38">
            <v>192</v>
          </cell>
          <cell r="N38">
            <v>7405.7550000000001</v>
          </cell>
          <cell r="O38">
            <v>1421904.96</v>
          </cell>
        </row>
        <row r="39">
          <cell r="A39" t="str">
            <v>PN001/12.25</v>
          </cell>
          <cell r="B39">
            <v>205</v>
          </cell>
          <cell r="C39" t="str">
            <v>30/11/2025</v>
          </cell>
          <cell r="J39" t="str">
            <v>JWG0029</v>
          </cell>
          <cell r="K39" t="str">
            <v>Đồ chơi gõ nhạc vui nhộn</v>
          </cell>
          <cell r="L39" t="str">
            <v>Cái</v>
          </cell>
          <cell r="M39">
            <v>192</v>
          </cell>
          <cell r="N39">
            <v>7405.7550000000001</v>
          </cell>
          <cell r="O39">
            <v>1421904.96</v>
          </cell>
        </row>
        <row r="40">
          <cell r="A40" t="str">
            <v>PN001/12.25</v>
          </cell>
          <cell r="B40">
            <v>205</v>
          </cell>
          <cell r="C40" t="str">
            <v>30/11/2025</v>
          </cell>
          <cell r="J40" t="str">
            <v>JWG0030</v>
          </cell>
          <cell r="K40" t="str">
            <v>Que thổi bong bóng kẹo ngọt</v>
          </cell>
          <cell r="L40" t="str">
            <v>Cái</v>
          </cell>
          <cell r="M40">
            <v>288</v>
          </cell>
          <cell r="N40">
            <v>1852.7565</v>
          </cell>
          <cell r="O40">
            <v>533593.87199999997</v>
          </cell>
        </row>
        <row r="41">
          <cell r="A41" t="str">
            <v>PN001/12.25</v>
          </cell>
          <cell r="B41">
            <v>205</v>
          </cell>
          <cell r="C41" t="str">
            <v>30/11/2025</v>
          </cell>
          <cell r="J41" t="str">
            <v>JWG0031</v>
          </cell>
          <cell r="K41" t="str">
            <v>Vịt vàng huýt sáo</v>
          </cell>
          <cell r="L41" t="str">
            <v>Cái</v>
          </cell>
          <cell r="M41">
            <v>320</v>
          </cell>
          <cell r="N41">
            <v>1852.7565</v>
          </cell>
          <cell r="O41">
            <v>592882.07999999996</v>
          </cell>
        </row>
        <row r="42">
          <cell r="A42" t="str">
            <v>PN001/12.25</v>
          </cell>
          <cell r="B42">
            <v>205</v>
          </cell>
          <cell r="C42" t="str">
            <v>30/11/2025</v>
          </cell>
          <cell r="J42" t="str">
            <v>JWG0032</v>
          </cell>
          <cell r="K42" t="str">
            <v>Đồ treo xe hơi B. Duck chính hãng series Buffy Friends - Kiểu Thỏ con</v>
          </cell>
          <cell r="L42" t="str">
            <v>Cái</v>
          </cell>
          <cell r="M42">
            <v>100</v>
          </cell>
          <cell r="N42">
            <v>2962.3020000000001</v>
          </cell>
          <cell r="O42">
            <v>296230.2</v>
          </cell>
        </row>
        <row r="43">
          <cell r="A43" t="str">
            <v>PN001/12.25</v>
          </cell>
          <cell r="B43">
            <v>205</v>
          </cell>
          <cell r="C43" t="str">
            <v>30/11/2025</v>
          </cell>
          <cell r="J43" t="str">
            <v>JWG0033</v>
          </cell>
          <cell r="K43" t="str">
            <v>Đồ treo xe hơi B. Duck chính hãng series Buffy Friends - Kiểu Gấu con</v>
          </cell>
          <cell r="L43" t="str">
            <v>Cái</v>
          </cell>
          <cell r="M43">
            <v>100</v>
          </cell>
          <cell r="N43">
            <v>2962.3020000000001</v>
          </cell>
          <cell r="O43">
            <v>296230.2</v>
          </cell>
        </row>
        <row r="44">
          <cell r="A44" t="str">
            <v>PN001/12.25</v>
          </cell>
          <cell r="B44">
            <v>205</v>
          </cell>
          <cell r="C44" t="str">
            <v>30/11/2025</v>
          </cell>
          <cell r="J44" t="str">
            <v>JWG0034</v>
          </cell>
          <cell r="K44" t="str">
            <v xml:space="preserve">Trò Chơi Cờ Vua Bốn Trong Một
</v>
          </cell>
          <cell r="L44" t="str">
            <v>Cái</v>
          </cell>
          <cell r="M44">
            <v>96</v>
          </cell>
          <cell r="N44">
            <v>5555.634</v>
          </cell>
          <cell r="O44">
            <v>533340.86400000006</v>
          </cell>
        </row>
        <row r="45">
          <cell r="A45" t="str">
            <v>PN001/12.25</v>
          </cell>
          <cell r="B45">
            <v>205</v>
          </cell>
          <cell r="C45" t="str">
            <v>30/11/2025</v>
          </cell>
          <cell r="J45" t="str">
            <v>JWG0035</v>
          </cell>
          <cell r="K45" t="str">
            <v>Đồ treo xe hơi B. Duck chính hãng series Buffy Friends - Phiên bản Gấu trúc</v>
          </cell>
          <cell r="L45" t="str">
            <v>Cái</v>
          </cell>
          <cell r="M45">
            <v>100</v>
          </cell>
          <cell r="N45">
            <v>3702.8775000000001</v>
          </cell>
          <cell r="O45">
            <v>370287.75</v>
          </cell>
        </row>
        <row r="46">
          <cell r="A46" t="str">
            <v>PN001/12.25</v>
          </cell>
          <cell r="B46">
            <v>205</v>
          </cell>
          <cell r="C46" t="str">
            <v>30/11/2025</v>
          </cell>
          <cell r="J46" t="str">
            <v>JWG0036</v>
          </cell>
          <cell r="K46" t="str">
            <v>Súng nước thuyền kayak chuối</v>
          </cell>
          <cell r="L46" t="str">
            <v>Cái</v>
          </cell>
          <cell r="M46">
            <v>432</v>
          </cell>
          <cell r="N46">
            <v>1852.7565</v>
          </cell>
          <cell r="O46">
            <v>800390.80799999996</v>
          </cell>
        </row>
        <row r="47">
          <cell r="A47" t="str">
            <v>PN001/12.25</v>
          </cell>
          <cell r="B47">
            <v>205</v>
          </cell>
          <cell r="C47" t="str">
            <v>30/11/2025</v>
          </cell>
          <cell r="J47" t="str">
            <v>JWG0037</v>
          </cell>
          <cell r="K47" t="str">
            <v>Đồng hồ điện tử chiếu hình</v>
          </cell>
          <cell r="L47" t="str">
            <v>Cái</v>
          </cell>
          <cell r="M47">
            <v>100</v>
          </cell>
          <cell r="N47">
            <v>2962.3020000000001</v>
          </cell>
          <cell r="O47">
            <v>296230.2</v>
          </cell>
        </row>
        <row r="48">
          <cell r="A48" t="str">
            <v>PN001/12.25</v>
          </cell>
          <cell r="B48">
            <v>205</v>
          </cell>
          <cell r="C48" t="str">
            <v>30/11/2025</v>
          </cell>
          <cell r="J48" t="str">
            <v>JWG0038</v>
          </cell>
          <cell r="K48" t="str">
            <v>Đồ treo xe hơi B. Duck chính hãng series Buffy Friends - Phiên bản Tàu hỏa</v>
          </cell>
          <cell r="L48" t="str">
            <v>Cái</v>
          </cell>
          <cell r="M48">
            <v>100</v>
          </cell>
          <cell r="N48">
            <v>2962.3020000000001</v>
          </cell>
          <cell r="O48">
            <v>296230.2</v>
          </cell>
        </row>
        <row r="49">
          <cell r="A49" t="str">
            <v>PN001/12.25</v>
          </cell>
          <cell r="B49">
            <v>205</v>
          </cell>
          <cell r="C49" t="str">
            <v>30/11/2025</v>
          </cell>
          <cell r="J49" t="str">
            <v>JWG0039</v>
          </cell>
          <cell r="K49" t="str">
            <v>Trò chơi cờ 2 trong 1</v>
          </cell>
          <cell r="L49" t="str">
            <v>Cái</v>
          </cell>
          <cell r="M49">
            <v>192</v>
          </cell>
          <cell r="N49">
            <v>3702.8775000000001</v>
          </cell>
          <cell r="O49">
            <v>710952.48</v>
          </cell>
        </row>
        <row r="50">
          <cell r="A50" t="str">
            <v>PN001/12.25</v>
          </cell>
          <cell r="B50">
            <v>205</v>
          </cell>
          <cell r="C50" t="str">
            <v>30/11/2025</v>
          </cell>
          <cell r="J50" t="str">
            <v>JWG0040</v>
          </cell>
          <cell r="K50" t="str">
            <v>Đồ treo xe hơi B. Duck chính hãng series Buffy Friends - Kiểu Ếch</v>
          </cell>
          <cell r="L50" t="str">
            <v>Cái</v>
          </cell>
          <cell r="M50">
            <v>100</v>
          </cell>
          <cell r="N50">
            <v>2962.3020000000001</v>
          </cell>
          <cell r="O50">
            <v>296230.2</v>
          </cell>
        </row>
        <row r="51">
          <cell r="A51" t="str">
            <v>PN001/12.25</v>
          </cell>
          <cell r="B51">
            <v>205</v>
          </cell>
          <cell r="C51" t="str">
            <v>30/11/2025</v>
          </cell>
          <cell r="E51" t="str">
            <v/>
          </cell>
          <cell r="F51" t="str">
            <v/>
          </cell>
          <cell r="G51" t="str">
            <v/>
          </cell>
          <cell r="J51" t="str">
            <v>JWG0041</v>
          </cell>
          <cell r="K51" t="str">
            <v>B. Duck chính hãng series Họa sĩ Vịt Vàng - Bút chì sáp</v>
          </cell>
          <cell r="L51" t="str">
            <v>Cái</v>
          </cell>
          <cell r="M51">
            <v>100</v>
          </cell>
          <cell r="N51">
            <v>2962.3020000000001</v>
          </cell>
          <cell r="O51">
            <v>296230.2</v>
          </cell>
        </row>
        <row r="52">
          <cell r="A52" t="str">
            <v>PN001/12.25</v>
          </cell>
          <cell r="B52">
            <v>205</v>
          </cell>
          <cell r="C52" t="str">
            <v>30/11/2025</v>
          </cell>
          <cell r="E52" t="str">
            <v/>
          </cell>
          <cell r="F52" t="str">
            <v/>
          </cell>
          <cell r="G52" t="str">
            <v/>
          </cell>
          <cell r="J52" t="str">
            <v>JWG0042</v>
          </cell>
          <cell r="K52" t="str">
            <v>Mặt dây chuyền móc khóa B. Duck</v>
          </cell>
          <cell r="L52" t="str">
            <v>Cái</v>
          </cell>
          <cell r="M52">
            <v>100</v>
          </cell>
          <cell r="N52">
            <v>2962.3020000000001</v>
          </cell>
          <cell r="O52">
            <v>296230.2</v>
          </cell>
        </row>
        <row r="53">
          <cell r="A53" t="str">
            <v>PN001/12.25</v>
          </cell>
          <cell r="B53">
            <v>205</v>
          </cell>
          <cell r="C53" t="str">
            <v>30/11/2025</v>
          </cell>
          <cell r="E53" t="str">
            <v/>
          </cell>
          <cell r="F53" t="str">
            <v/>
          </cell>
          <cell r="G53" t="str">
            <v/>
          </cell>
          <cell r="J53" t="str">
            <v>JWG0043</v>
          </cell>
          <cell r="K53" t="str">
            <v>Mặt dây chuyền B. Duck chính hãng kiểu khắc gỗ - Vịt Nằm Kiếm Tiền (Lying Down to Make Money)</v>
          </cell>
          <cell r="L53" t="str">
            <v>Cái</v>
          </cell>
          <cell r="M53">
            <v>100</v>
          </cell>
          <cell r="N53">
            <v>2962.3020000000001</v>
          </cell>
          <cell r="O53">
            <v>296230.2</v>
          </cell>
        </row>
        <row r="54">
          <cell r="A54" t="str">
            <v>PN001/12.25</v>
          </cell>
          <cell r="B54">
            <v>205</v>
          </cell>
          <cell r="C54" t="str">
            <v>30/11/2025</v>
          </cell>
          <cell r="E54" t="str">
            <v/>
          </cell>
          <cell r="F54" t="str">
            <v/>
          </cell>
          <cell r="G54" t="str">
            <v/>
          </cell>
          <cell r="J54" t="str">
            <v>JWG0044</v>
          </cell>
          <cell r="K54" t="str">
            <v>Mặt dây chuyền B. Duck chính hãng kiểu khắc gỗ - Vịt Chúc Ngủ Ngon</v>
          </cell>
          <cell r="L54" t="str">
            <v>Cái</v>
          </cell>
          <cell r="M54">
            <v>100</v>
          </cell>
          <cell r="N54">
            <v>2962.3020000000001</v>
          </cell>
          <cell r="O54">
            <v>296230.2</v>
          </cell>
        </row>
        <row r="55">
          <cell r="A55" t="str">
            <v>PN001/12.25</v>
          </cell>
          <cell r="B55">
            <v>205</v>
          </cell>
          <cell r="C55" t="str">
            <v>30/11/2025</v>
          </cell>
          <cell r="E55" t="str">
            <v/>
          </cell>
          <cell r="F55" t="str">
            <v/>
          </cell>
          <cell r="G55" t="str">
            <v/>
          </cell>
          <cell r="J55" t="str">
            <v>JWG0045</v>
          </cell>
          <cell r="K55" t="str">
            <v>Mặt dây chuyền B. Duck chính hãng kiểu khắc gỗ - Vịt Ngâm Bồn</v>
          </cell>
          <cell r="L55" t="str">
            <v>Cái</v>
          </cell>
          <cell r="M55">
            <v>100</v>
          </cell>
          <cell r="N55">
            <v>2962.3020000000001</v>
          </cell>
          <cell r="O55">
            <v>296230.2</v>
          </cell>
        </row>
        <row r="56">
          <cell r="A56" t="str">
            <v>PN001/12.25</v>
          </cell>
          <cell r="B56">
            <v>205</v>
          </cell>
          <cell r="C56" t="str">
            <v>30/11/2025</v>
          </cell>
          <cell r="E56" t="str">
            <v/>
          </cell>
          <cell r="F56" t="str">
            <v/>
          </cell>
          <cell r="G56" t="str">
            <v/>
          </cell>
          <cell r="J56" t="str">
            <v>JWG0046</v>
          </cell>
          <cell r="K56" t="str">
            <v>Vịt nổi nam châm</v>
          </cell>
          <cell r="L56" t="str">
            <v>Cái</v>
          </cell>
          <cell r="M56">
            <v>50</v>
          </cell>
          <cell r="N56">
            <v>20367.144</v>
          </cell>
          <cell r="O56">
            <v>1018357.2</v>
          </cell>
        </row>
        <row r="57">
          <cell r="A57" t="str">
            <v>PN001/12.25</v>
          </cell>
          <cell r="B57">
            <v>205</v>
          </cell>
          <cell r="C57" t="str">
            <v>30/11/2025</v>
          </cell>
          <cell r="E57" t="str">
            <v/>
          </cell>
          <cell r="F57" t="str">
            <v/>
          </cell>
          <cell r="G57" t="str">
            <v/>
          </cell>
          <cell r="J57" t="str">
            <v>JWG0047</v>
          </cell>
          <cell r="K57" t="str">
            <v>Búp bê bò nam châm</v>
          </cell>
          <cell r="L57" t="str">
            <v>Cái</v>
          </cell>
          <cell r="M57">
            <v>120</v>
          </cell>
          <cell r="N57">
            <v>7405.7550000000001</v>
          </cell>
          <cell r="O57">
            <v>888690.6</v>
          </cell>
        </row>
        <row r="58">
          <cell r="A58" t="str">
            <v>PN001/12.25</v>
          </cell>
          <cell r="B58">
            <v>205</v>
          </cell>
          <cell r="C58" t="str">
            <v>30/11/2025</v>
          </cell>
          <cell r="E58" t="str">
            <v/>
          </cell>
          <cell r="F58" t="str">
            <v/>
          </cell>
          <cell r="G58" t="str">
            <v/>
          </cell>
          <cell r="J58" t="str">
            <v>JWG0048</v>
          </cell>
          <cell r="K58" t="str">
            <v>Túi đeo chéo búp bê nhồi bông</v>
          </cell>
          <cell r="L58" t="str">
            <v>Cái</v>
          </cell>
          <cell r="M58">
            <v>80</v>
          </cell>
          <cell r="N58">
            <v>11108.6325</v>
          </cell>
          <cell r="O58">
            <v>888690.6</v>
          </cell>
        </row>
        <row r="59">
          <cell r="A59" t="str">
            <v>PN001/12.25</v>
          </cell>
          <cell r="B59">
            <v>205</v>
          </cell>
          <cell r="C59" t="str">
            <v>30/11/2025</v>
          </cell>
          <cell r="E59" t="str">
            <v/>
          </cell>
          <cell r="F59" t="str">
            <v/>
          </cell>
          <cell r="G59" t="str">
            <v/>
          </cell>
          <cell r="J59" t="str">
            <v>JWG0049</v>
          </cell>
          <cell r="K59" t="str">
            <v>Đồ chơi kéo dây (vịt/bọ rùa)</v>
          </cell>
          <cell r="L59" t="str">
            <v>Cái</v>
          </cell>
          <cell r="M59">
            <v>150</v>
          </cell>
          <cell r="N59">
            <v>3702.8775000000001</v>
          </cell>
          <cell r="O59">
            <v>555431.625</v>
          </cell>
        </row>
        <row r="60">
          <cell r="A60" t="str">
            <v>PN001/12.25</v>
          </cell>
          <cell r="B60">
            <v>205</v>
          </cell>
          <cell r="C60" t="str">
            <v>30/11/2025</v>
          </cell>
          <cell r="E60" t="str">
            <v/>
          </cell>
          <cell r="F60" t="str">
            <v/>
          </cell>
          <cell r="G60" t="str">
            <v/>
          </cell>
          <cell r="J60" t="str">
            <v>JWG0050</v>
          </cell>
          <cell r="K60" t="str">
            <v>Hộp mù/Blind box Tài lộc (4 món)</v>
          </cell>
          <cell r="L60" t="str">
            <v>Cái</v>
          </cell>
          <cell r="M60">
            <v>24</v>
          </cell>
          <cell r="N60">
            <v>148115.1</v>
          </cell>
          <cell r="O60">
            <v>3554762.4000000004</v>
          </cell>
        </row>
        <row r="61">
          <cell r="A61" t="str">
            <v>PN001/12.25</v>
          </cell>
          <cell r="B61">
            <v>205</v>
          </cell>
          <cell r="C61" t="str">
            <v>30/11/2025</v>
          </cell>
          <cell r="E61" t="str">
            <v/>
          </cell>
          <cell r="F61" t="str">
            <v/>
          </cell>
          <cell r="G61" t="str">
            <v/>
          </cell>
          <cell r="J61" t="str">
            <v>JWG0051</v>
          </cell>
          <cell r="K61" t="str">
            <v>Hộp mù/Blind box Bảo tàng Anh (6 món)</v>
          </cell>
          <cell r="L61" t="str">
            <v>Cái</v>
          </cell>
          <cell r="M61">
            <v>36</v>
          </cell>
          <cell r="N61">
            <v>166629.48749999999</v>
          </cell>
          <cell r="O61">
            <v>5998661.5499999998</v>
          </cell>
        </row>
        <row r="62">
          <cell r="A62" t="str">
            <v>PN001/12.25</v>
          </cell>
          <cell r="B62">
            <v>205</v>
          </cell>
          <cell r="C62" t="str">
            <v>30/11/2025</v>
          </cell>
          <cell r="E62" t="str">
            <v/>
          </cell>
          <cell r="F62" t="str">
            <v/>
          </cell>
          <cell r="G62" t="str">
            <v/>
          </cell>
          <cell r="J62" t="str">
            <v>JWG0052</v>
          </cell>
          <cell r="K62" t="str">
            <v>Hộp mù/Blind box Vịt Nổi (8 món)</v>
          </cell>
          <cell r="L62" t="str">
            <v>Cái</v>
          </cell>
          <cell r="M62">
            <v>12</v>
          </cell>
          <cell r="N62">
            <v>185143.875</v>
          </cell>
          <cell r="O62">
            <v>2221726.5</v>
          </cell>
        </row>
        <row r="63">
          <cell r="A63" t="str">
            <v>PN001/12.25</v>
          </cell>
          <cell r="B63">
            <v>205</v>
          </cell>
          <cell r="C63" t="str">
            <v>30/11/2025</v>
          </cell>
          <cell r="E63" t="str">
            <v/>
          </cell>
          <cell r="F63" t="str">
            <v/>
          </cell>
          <cell r="G63" t="str">
            <v/>
          </cell>
          <cell r="J63" t="str">
            <v>JWG0053</v>
          </cell>
          <cell r="K63" t="str">
            <v>Búp bê nằm sấp cỡ lớn (40cm)</v>
          </cell>
          <cell r="L63" t="str">
            <v>Cái</v>
          </cell>
          <cell r="M63">
            <v>20</v>
          </cell>
          <cell r="N63">
            <v>44434.53</v>
          </cell>
          <cell r="O63">
            <v>888690.6</v>
          </cell>
        </row>
        <row r="64">
          <cell r="A64" t="str">
            <v>PN001/12.25</v>
          </cell>
          <cell r="B64">
            <v>205</v>
          </cell>
          <cell r="C64" t="str">
            <v>30/11/2025</v>
          </cell>
          <cell r="E64" t="str">
            <v/>
          </cell>
          <cell r="F64" t="str">
            <v/>
          </cell>
          <cell r="G64" t="str">
            <v/>
          </cell>
          <cell r="J64" t="str">
            <v>JWS0001</v>
          </cell>
          <cell r="K64" t="str">
            <v>Túi xách mỏ vịt mini B. Duck</v>
          </cell>
          <cell r="L64" t="str">
            <v>Cái</v>
          </cell>
          <cell r="M64">
            <v>200</v>
          </cell>
          <cell r="N64">
            <v>12961.388999999999</v>
          </cell>
          <cell r="O64">
            <v>2592277.7999999998</v>
          </cell>
        </row>
        <row r="65">
          <cell r="A65" t="str">
            <v>PN001/12.25</v>
          </cell>
          <cell r="B65">
            <v>205</v>
          </cell>
          <cell r="C65" t="str">
            <v>30/11/2025</v>
          </cell>
          <cell r="E65" t="str">
            <v/>
          </cell>
          <cell r="F65" t="str">
            <v/>
          </cell>
          <cell r="G65" t="str">
            <v/>
          </cell>
          <cell r="J65" t="str">
            <v>JWS0002</v>
          </cell>
          <cell r="K65" t="str">
            <v>B. Duck series Tổ Tiên - Vịt Nổi (11CM)</v>
          </cell>
          <cell r="L65" t="str">
            <v>Cái</v>
          </cell>
          <cell r="M65">
            <v>100</v>
          </cell>
          <cell r="N65">
            <v>10368.057000000001</v>
          </cell>
          <cell r="O65">
            <v>1036805.7000000001</v>
          </cell>
        </row>
        <row r="66">
          <cell r="A66" t="str">
            <v>PN001/12.25</v>
          </cell>
          <cell r="B66">
            <v>205</v>
          </cell>
          <cell r="C66" t="str">
            <v>30/11/2025</v>
          </cell>
          <cell r="E66" t="str">
            <v/>
          </cell>
          <cell r="F66" t="str">
            <v/>
          </cell>
          <cell r="G66" t="str">
            <v/>
          </cell>
          <cell r="J66" t="str">
            <v>JWS0003</v>
          </cell>
          <cell r="K66" t="str">
            <v>B. Duck series Tổ Tiên - Búp bê nhồi bông đứng cỡ vừa</v>
          </cell>
          <cell r="L66" t="str">
            <v>Cái</v>
          </cell>
          <cell r="M66">
            <v>150</v>
          </cell>
          <cell r="N66">
            <v>11108.6325</v>
          </cell>
          <cell r="O66">
            <v>1666294.875</v>
          </cell>
        </row>
        <row r="67">
          <cell r="A67" t="str">
            <v>PN001/12.25</v>
          </cell>
          <cell r="B67">
            <v>205</v>
          </cell>
          <cell r="C67" t="str">
            <v>30/11/2025</v>
          </cell>
          <cell r="E67" t="str">
            <v/>
          </cell>
          <cell r="F67" t="str">
            <v/>
          </cell>
          <cell r="G67" t="str">
            <v/>
          </cell>
          <cell r="J67" t="str">
            <v>JWS0004</v>
          </cell>
          <cell r="K67" t="str">
            <v>B. Duck series Tổ Tiên - Mặt dây chuyền dẹt nhỏ</v>
          </cell>
          <cell r="L67" t="str">
            <v>Cái</v>
          </cell>
          <cell r="M67">
            <v>150</v>
          </cell>
          <cell r="N67">
            <v>11108.6325</v>
          </cell>
          <cell r="O67">
            <v>1666294.875</v>
          </cell>
        </row>
        <row r="68">
          <cell r="A68" t="str">
            <v>PN001/12.25</v>
          </cell>
          <cell r="B68">
            <v>205</v>
          </cell>
          <cell r="C68" t="str">
            <v>30/11/2025</v>
          </cell>
          <cell r="E68" t="str">
            <v/>
          </cell>
          <cell r="F68" t="str">
            <v/>
          </cell>
          <cell r="G68" t="str">
            <v/>
          </cell>
          <cell r="J68" t="str">
            <v>JWS0005</v>
          </cell>
          <cell r="K68" t="str">
            <v>B. Duck series Tổ Tiên - Bộ hộp khăn giấy nhồi bông cỡ vừa</v>
          </cell>
          <cell r="L68" t="str">
            <v>Cái</v>
          </cell>
          <cell r="M68">
            <v>150</v>
          </cell>
          <cell r="N68">
            <v>11108.6325</v>
          </cell>
          <cell r="O68">
            <v>1666294.875</v>
          </cell>
        </row>
        <row r="69">
          <cell r="A69" t="str">
            <v>PN001/12.25</v>
          </cell>
          <cell r="B69">
            <v>205</v>
          </cell>
          <cell r="C69" t="str">
            <v>30/11/2025</v>
          </cell>
          <cell r="E69" t="str">
            <v/>
          </cell>
          <cell r="F69" t="str">
            <v/>
          </cell>
          <cell r="G69" t="str">
            <v/>
          </cell>
          <cell r="J69" t="str">
            <v>JWS0006</v>
          </cell>
          <cell r="K69" t="str">
            <v>B. Duck series Tổ Tiên - Búp bê nhồi bông nổi cỡ vừa</v>
          </cell>
          <cell r="L69" t="str">
            <v>Cái</v>
          </cell>
          <cell r="M69">
            <v>100</v>
          </cell>
          <cell r="N69">
            <v>10368.057000000001</v>
          </cell>
          <cell r="O69">
            <v>1036805.7000000001</v>
          </cell>
        </row>
        <row r="70">
          <cell r="A70" t="str">
            <v>PN001/12.25</v>
          </cell>
          <cell r="B70">
            <v>205</v>
          </cell>
          <cell r="C70" t="str">
            <v>30/11/2025</v>
          </cell>
          <cell r="E70" t="str">
            <v/>
          </cell>
          <cell r="F70" t="str">
            <v/>
          </cell>
          <cell r="G70" t="str">
            <v/>
          </cell>
          <cell r="J70" t="str">
            <v>JWS0007</v>
          </cell>
          <cell r="K70" t="str">
            <v>Hộp mù/Blind box nhồi bông series Ngày của Vịt Đậu - Hộp cuối 6+1</v>
          </cell>
          <cell r="L70" t="str">
            <v>Cái</v>
          </cell>
          <cell r="M70">
            <v>100</v>
          </cell>
          <cell r="N70">
            <v>92571.9375</v>
          </cell>
          <cell r="O70">
            <v>9257193.75</v>
          </cell>
        </row>
        <row r="71">
          <cell r="A71" t="str">
            <v>PN001/12.25</v>
          </cell>
          <cell r="B71">
            <v>205</v>
          </cell>
          <cell r="C71" t="str">
            <v>30/11/2025</v>
          </cell>
          <cell r="E71" t="str">
            <v/>
          </cell>
          <cell r="F71" t="str">
            <v/>
          </cell>
          <cell r="G71" t="str">
            <v/>
          </cell>
          <cell r="J71" t="str">
            <v>JWS0008</v>
          </cell>
          <cell r="K71" t="str">
            <v>Series Vịt Đậu - Túi đựng di động Vịt Đậu</v>
          </cell>
          <cell r="L71" t="str">
            <v>Cái</v>
          </cell>
          <cell r="M71">
            <v>100</v>
          </cell>
          <cell r="N71">
            <v>11108.6325</v>
          </cell>
          <cell r="O71">
            <v>1110863.25</v>
          </cell>
        </row>
        <row r="72">
          <cell r="A72" t="str">
            <v>PN001/12.25</v>
          </cell>
          <cell r="B72">
            <v>205</v>
          </cell>
          <cell r="C72" t="str">
            <v>30/11/2025</v>
          </cell>
          <cell r="E72" t="str">
            <v/>
          </cell>
          <cell r="F72" t="str">
            <v/>
          </cell>
          <cell r="G72" t="str">
            <v/>
          </cell>
          <cell r="J72" t="str">
            <v>JWS0009</v>
          </cell>
          <cell r="K72" t="str">
            <v>Series Vịt Đậu - Vịt nhồi bông dán văn phòng</v>
          </cell>
          <cell r="L72" t="str">
            <v>Cái</v>
          </cell>
          <cell r="M72">
            <v>300</v>
          </cell>
          <cell r="N72">
            <v>7405.7550000000001</v>
          </cell>
          <cell r="O72">
            <v>2221726.5</v>
          </cell>
        </row>
        <row r="73">
          <cell r="A73" t="str">
            <v>PN001/12.25</v>
          </cell>
          <cell r="B73">
            <v>205</v>
          </cell>
          <cell r="C73" t="str">
            <v>30/11/2025</v>
          </cell>
          <cell r="E73" t="str">
            <v/>
          </cell>
          <cell r="F73" t="str">
            <v/>
          </cell>
          <cell r="G73" t="str">
            <v/>
          </cell>
          <cell r="J73" t="str">
            <v>JWS0010</v>
          </cell>
          <cell r="K73" t="str">
            <v>Bộ sưu tập Hè B. Duck - Túi chống nước điện thoại TPU màu cam</v>
          </cell>
          <cell r="L73" t="str">
            <v>Cái</v>
          </cell>
          <cell r="M73">
            <v>72</v>
          </cell>
          <cell r="N73">
            <v>5555.634</v>
          </cell>
          <cell r="O73">
            <v>400005.64799999999</v>
          </cell>
        </row>
        <row r="74">
          <cell r="A74" t="str">
            <v>PN001/12.25</v>
          </cell>
          <cell r="B74">
            <v>205</v>
          </cell>
          <cell r="C74" t="str">
            <v>30/11/2025</v>
          </cell>
          <cell r="E74" t="str">
            <v/>
          </cell>
          <cell r="F74" t="str">
            <v/>
          </cell>
          <cell r="G74" t="str">
            <v/>
          </cell>
          <cell r="J74" t="str">
            <v>JWS0011</v>
          </cell>
          <cell r="K74" t="str">
            <v>B. Duck series Động vật - Mặt dây chuyền nhồi bông Vinyl (Kiểu Gấu và Mèo)</v>
          </cell>
          <cell r="L74" t="str">
            <v>Cái</v>
          </cell>
          <cell r="M74">
            <v>50</v>
          </cell>
          <cell r="N74">
            <v>11108.6325</v>
          </cell>
          <cell r="O74">
            <v>555431.625</v>
          </cell>
        </row>
        <row r="75">
          <cell r="A75" t="str">
            <v>PN001/12.25</v>
          </cell>
          <cell r="B75">
            <v>205</v>
          </cell>
          <cell r="C75" t="str">
            <v>30/11/2025</v>
          </cell>
          <cell r="E75" t="str">
            <v/>
          </cell>
          <cell r="F75" t="str">
            <v/>
          </cell>
          <cell r="G75" t="str">
            <v/>
          </cell>
          <cell r="J75" t="str">
            <v>JWS0012</v>
          </cell>
          <cell r="K75" t="str">
            <v>Ba lô mỏ vịt nhồi bông B. Duck Cổ điển (Kiểu Chân Thú Bông)</v>
          </cell>
          <cell r="L75" t="str">
            <v>Cái</v>
          </cell>
          <cell r="M75">
            <v>50</v>
          </cell>
          <cell r="N75">
            <v>17033.236499999999</v>
          </cell>
          <cell r="O75">
            <v>851661.82499999995</v>
          </cell>
        </row>
        <row r="76">
          <cell r="A76" t="str">
            <v>PN001/12.25</v>
          </cell>
          <cell r="B76">
            <v>205</v>
          </cell>
          <cell r="C76" t="str">
            <v>30/11/2025</v>
          </cell>
          <cell r="E76" t="str">
            <v/>
          </cell>
          <cell r="F76" t="str">
            <v/>
          </cell>
          <cell r="G76" t="str">
            <v/>
          </cell>
          <cell r="J76" t="str">
            <v>JWS0013</v>
          </cell>
          <cell r="K76" t="str">
            <v>Bộ sưu tập Tài lộc B. Duck - Dây đeo điện thoại</v>
          </cell>
          <cell r="L76" t="str">
            <v>Cái</v>
          </cell>
          <cell r="M76">
            <v>30</v>
          </cell>
          <cell r="N76">
            <v>5555.634</v>
          </cell>
          <cell r="O76">
            <v>166669.01999999999</v>
          </cell>
        </row>
        <row r="77">
          <cell r="A77" t="str">
            <v>PN001/12.25</v>
          </cell>
          <cell r="B77">
            <v>205</v>
          </cell>
          <cell r="C77" t="str">
            <v>30/11/2025</v>
          </cell>
          <cell r="E77" t="str">
            <v/>
          </cell>
          <cell r="F77" t="str">
            <v/>
          </cell>
          <cell r="G77" t="str">
            <v/>
          </cell>
          <cell r="J77" t="str">
            <v>JWS0014</v>
          </cell>
          <cell r="K77" t="str">
            <v>Túi đựng tai nghe nhồi bông B. Duck x Vương quốc Bánh quy - Kiểu B. Duck</v>
          </cell>
          <cell r="L77" t="str">
            <v>Cái</v>
          </cell>
          <cell r="M77">
            <v>100</v>
          </cell>
          <cell r="N77">
            <v>7405.7550000000001</v>
          </cell>
          <cell r="O77">
            <v>740575.5</v>
          </cell>
        </row>
        <row r="78">
          <cell r="A78" t="str">
            <v>PN001/12.25</v>
          </cell>
          <cell r="B78">
            <v>205</v>
          </cell>
          <cell r="C78" t="str">
            <v>30/11/2025</v>
          </cell>
          <cell r="E78" t="str">
            <v/>
          </cell>
          <cell r="F78" t="str">
            <v/>
          </cell>
          <cell r="G78" t="str">
            <v/>
          </cell>
          <cell r="J78" t="str">
            <v>JWS0015</v>
          </cell>
          <cell r="K78" t="str">
            <v>B. Duck series 20 (kỷ niệm 20 năm) - Túi Cao bồi B. Duck</v>
          </cell>
          <cell r="L78" t="str">
            <v>Cái</v>
          </cell>
          <cell r="M78">
            <v>50</v>
          </cell>
          <cell r="N78">
            <v>9258.5115000000005</v>
          </cell>
          <cell r="O78">
            <v>462925.57500000001</v>
          </cell>
        </row>
        <row r="79">
          <cell r="A79" t="str">
            <v>PN001/12.25</v>
          </cell>
          <cell r="B79">
            <v>205</v>
          </cell>
          <cell r="C79" t="str">
            <v>30/11/2025</v>
          </cell>
          <cell r="E79" t="str">
            <v/>
          </cell>
          <cell r="F79" t="str">
            <v/>
          </cell>
          <cell r="G79" t="str">
            <v/>
          </cell>
          <cell r="J79" t="str">
            <v>JWS0016</v>
          </cell>
          <cell r="K79" t="str">
            <v>B. Duck series 20 - Đồ trang trí nhồi bông nằm (20CM)</v>
          </cell>
          <cell r="L79" t="str">
            <v>Cái</v>
          </cell>
          <cell r="M79">
            <v>50</v>
          </cell>
          <cell r="N79">
            <v>9250.6049999999996</v>
          </cell>
          <cell r="O79">
            <v>462530.25</v>
          </cell>
        </row>
        <row r="80">
          <cell r="A80" t="str">
            <v>PN001/12.25</v>
          </cell>
          <cell r="B80">
            <v>205</v>
          </cell>
          <cell r="C80" t="str">
            <v>30/11/2025</v>
          </cell>
          <cell r="E80" t="str">
            <v/>
          </cell>
          <cell r="F80" t="str">
            <v/>
          </cell>
          <cell r="G80" t="str">
            <v/>
          </cell>
          <cell r="J80" t="str">
            <v>JWS0017</v>
          </cell>
          <cell r="K80" t="str">
            <v>B.Duck Tuần lễ Lao động - Mặt dây chuyền nhồi bông (Vịt Làm Việc)</v>
          </cell>
          <cell r="L80" t="str">
            <v>Cái</v>
          </cell>
          <cell r="M80">
            <v>50</v>
          </cell>
          <cell r="N80">
            <v>9250.6049999999996</v>
          </cell>
          <cell r="O80">
            <v>462530.25</v>
          </cell>
        </row>
        <row r="81">
          <cell r="A81" t="str">
            <v>PN001/12.25</v>
          </cell>
          <cell r="B81">
            <v>205</v>
          </cell>
          <cell r="C81" t="str">
            <v>30/11/2025</v>
          </cell>
          <cell r="E81" t="str">
            <v/>
          </cell>
          <cell r="F81" t="str">
            <v/>
          </cell>
          <cell r="G81" t="str">
            <v/>
          </cell>
          <cell r="J81" t="str">
            <v>JWS0018</v>
          </cell>
          <cell r="K81" t="str">
            <v>B.Duck Tuần lễ Lao động - Mặt dây chuyền nhồi bông (Vịt Buồn Ngủ)</v>
          </cell>
          <cell r="L81" t="str">
            <v>Cái</v>
          </cell>
          <cell r="M81">
            <v>50</v>
          </cell>
          <cell r="N81">
            <v>9224.25</v>
          </cell>
          <cell r="O81">
            <v>461212.5</v>
          </cell>
        </row>
        <row r="82">
          <cell r="A82" t="str">
            <v>PN001/12.25</v>
          </cell>
          <cell r="B82">
            <v>205</v>
          </cell>
          <cell r="C82" t="str">
            <v>30/11/2025</v>
          </cell>
          <cell r="E82" t="str">
            <v/>
          </cell>
          <cell r="F82" t="str">
            <v/>
          </cell>
          <cell r="G82" t="str">
            <v/>
          </cell>
          <cell r="J82" t="str">
            <v>JWS0019</v>
          </cell>
          <cell r="K82" t="str">
            <v>B.Duck series Cầu vồng Dopamine - Vịt Nổi 9cm</v>
          </cell>
          <cell r="L82" t="str">
            <v>Cái</v>
          </cell>
          <cell r="M82">
            <v>20</v>
          </cell>
          <cell r="N82">
            <v>9224.25</v>
          </cell>
          <cell r="O82">
            <v>184485</v>
          </cell>
        </row>
        <row r="83">
          <cell r="A83" t="str">
            <v>PN001/12.25</v>
          </cell>
          <cell r="B83">
            <v>205</v>
          </cell>
          <cell r="C83" t="str">
            <v>30/11/2025</v>
          </cell>
          <cell r="E83" t="str">
            <v/>
          </cell>
          <cell r="F83" t="str">
            <v/>
          </cell>
          <cell r="G83" t="str">
            <v/>
          </cell>
          <cell r="J83" t="str">
            <v>JWS0020</v>
          </cell>
          <cell r="K83" t="str">
            <v>Túi đựng tai nghe nhồi bông B.Duck x Monchhichi 2.0</v>
          </cell>
          <cell r="L83" t="str">
            <v>Cái</v>
          </cell>
          <cell r="M83">
            <v>50</v>
          </cell>
          <cell r="N83">
            <v>17657.849999999999</v>
          </cell>
          <cell r="O83">
            <v>882892.49999999988</v>
          </cell>
        </row>
        <row r="84">
          <cell r="A84" t="str">
            <v>PN001/12.25</v>
          </cell>
          <cell r="B84">
            <v>205</v>
          </cell>
          <cell r="C84" t="str">
            <v>30/11/2025</v>
          </cell>
          <cell r="E84" t="str">
            <v/>
          </cell>
          <cell r="F84" t="str">
            <v/>
          </cell>
          <cell r="G84" t="str">
            <v/>
          </cell>
          <cell r="J84" t="str">
            <v>JWS0021</v>
          </cell>
          <cell r="K84" t="str">
            <v>Túi đeo chéo nhồi bông B.Duck x Monchhichi 2.0</v>
          </cell>
          <cell r="L84" t="str">
            <v>Cái</v>
          </cell>
          <cell r="M84">
            <v>50</v>
          </cell>
          <cell r="N84">
            <v>14231.7</v>
          </cell>
          <cell r="O84">
            <v>711585</v>
          </cell>
        </row>
        <row r="85">
          <cell r="A85" t="str">
            <v>PN001/12.25</v>
          </cell>
          <cell r="B85">
            <v>205</v>
          </cell>
          <cell r="C85" t="str">
            <v>30/11/2025</v>
          </cell>
          <cell r="E85" t="str">
            <v/>
          </cell>
          <cell r="F85" t="str">
            <v/>
          </cell>
          <cell r="G85" t="str">
            <v/>
          </cell>
          <cell r="J85" t="str">
            <v>JWS0022</v>
          </cell>
          <cell r="K85" t="str">
            <v>B.Duck series 20 - Bộ ốp lưng điện thoại nam châm (iPhone 16 Pro Max)</v>
          </cell>
          <cell r="L85" t="str">
            <v>Cái</v>
          </cell>
          <cell r="M85">
            <v>50</v>
          </cell>
          <cell r="N85">
            <v>22138.2</v>
          </cell>
          <cell r="O85">
            <v>1106910</v>
          </cell>
        </row>
        <row r="86">
          <cell r="A86" t="str">
            <v>PN001/12.25</v>
          </cell>
          <cell r="B86">
            <v>205</v>
          </cell>
          <cell r="C86" t="str">
            <v>30/11/2025</v>
          </cell>
          <cell r="E86" t="str">
            <v/>
          </cell>
          <cell r="F86" t="str">
            <v/>
          </cell>
          <cell r="G86" t="str">
            <v/>
          </cell>
          <cell r="J86" t="str">
            <v>JWS0023</v>
          </cell>
          <cell r="K86" t="str">
            <v>B.Duck series Vitamin C Khỏe mạnh - Gói Giảm Đau Vịt Chanh (Ningmeng ya)</v>
          </cell>
          <cell r="L86" t="str">
            <v>Cái</v>
          </cell>
          <cell r="M86">
            <v>150</v>
          </cell>
          <cell r="N86">
            <v>5534.55</v>
          </cell>
          <cell r="O86">
            <v>830182.5</v>
          </cell>
        </row>
        <row r="87">
          <cell r="A87" t="str">
            <v>PN001/12.25</v>
          </cell>
          <cell r="B87">
            <v>205</v>
          </cell>
          <cell r="C87" t="str">
            <v>30/11/2025</v>
          </cell>
          <cell r="E87" t="str">
            <v/>
          </cell>
          <cell r="F87" t="str">
            <v/>
          </cell>
          <cell r="G87" t="str">
            <v/>
          </cell>
          <cell r="J87" t="str">
            <v>JWS0024</v>
          </cell>
          <cell r="K87" t="str">
            <v>B.Duck series Chiêu Tài (Zhaocai) - Giá đỡ điện thoại túi khí Vịt Chiêu Tài - Bộ sưu tập Tiêu Tiền</v>
          </cell>
          <cell r="L87" t="str">
            <v>Cái</v>
          </cell>
          <cell r="M87">
            <v>50</v>
          </cell>
          <cell r="N87">
            <v>2582.79</v>
          </cell>
          <cell r="O87">
            <v>129139.5</v>
          </cell>
        </row>
        <row r="88">
          <cell r="A88" t="str">
            <v>PN001/12.25</v>
          </cell>
          <cell r="B88">
            <v>205</v>
          </cell>
          <cell r="C88" t="str">
            <v>30/11/2025</v>
          </cell>
          <cell r="E88" t="str">
            <v/>
          </cell>
          <cell r="F88" t="str">
            <v/>
          </cell>
          <cell r="G88" t="str">
            <v/>
          </cell>
          <cell r="J88" t="str">
            <v>JWS0025</v>
          </cell>
          <cell r="K88" t="str">
            <v>B.Duck series Vitamin C (Health Dimension) - Nhãn dán nổi (Crystal Drop) (Phiên bản Tem)</v>
          </cell>
          <cell r="L88" t="str">
            <v>Cái</v>
          </cell>
          <cell r="M88">
            <v>86</v>
          </cell>
          <cell r="N88">
            <v>2145.297</v>
          </cell>
          <cell r="O88">
            <v>184495.54200000002</v>
          </cell>
        </row>
        <row r="89">
          <cell r="A89" t="str">
            <v>PN001/12.25</v>
          </cell>
          <cell r="B89">
            <v>205</v>
          </cell>
          <cell r="C89" t="str">
            <v>30/11/2025</v>
          </cell>
          <cell r="E89" t="str">
            <v/>
          </cell>
          <cell r="F89" t="str">
            <v/>
          </cell>
          <cell r="G89" t="str">
            <v/>
          </cell>
          <cell r="J89" t="str">
            <v>JWS0026</v>
          </cell>
          <cell r="K89" t="str">
            <v>B.Duck series Vitamin C Khỏe mạnh - Nhãn dán nổi (Crystal Drop) (Phiên bản Trái cây)</v>
          </cell>
          <cell r="L89" t="str">
            <v>Cái</v>
          </cell>
          <cell r="M89">
            <v>84</v>
          </cell>
          <cell r="N89">
            <v>2195.3715000000002</v>
          </cell>
          <cell r="O89">
            <v>184411.20600000001</v>
          </cell>
        </row>
        <row r="90">
          <cell r="A90" t="str">
            <v>PN001/12.25</v>
          </cell>
          <cell r="B90">
            <v>205</v>
          </cell>
          <cell r="C90" t="str">
            <v>30/11/2025</v>
          </cell>
          <cell r="E90" t="str">
            <v/>
          </cell>
          <cell r="F90" t="str">
            <v/>
          </cell>
          <cell r="G90" t="str">
            <v/>
          </cell>
          <cell r="J90" t="str">
            <v>JWS0027</v>
          </cell>
          <cell r="K90" t="str">
            <v>Túi giấy</v>
          </cell>
          <cell r="L90" t="str">
            <v>Cái</v>
          </cell>
          <cell r="M90">
            <v>3000</v>
          </cell>
          <cell r="N90">
            <v>10381</v>
          </cell>
          <cell r="O90">
            <v>31143000</v>
          </cell>
        </row>
        <row r="91">
          <cell r="A91" t="str">
            <v>PN001/02.26</v>
          </cell>
          <cell r="B91">
            <v>205</v>
          </cell>
          <cell r="C91">
            <v>46068</v>
          </cell>
          <cell r="E91" t="str">
            <v/>
          </cell>
          <cell r="F91" t="str">
            <v/>
          </cell>
          <cell r="G91" t="str">
            <v/>
          </cell>
          <cell r="J91" t="str">
            <v>JWG0054</v>
          </cell>
          <cell r="K91" t="str">
            <v>Bộ đồ chơi xếp hình bằng giấy- Chủ đề Thế giới động vật</v>
          </cell>
          <cell r="L91" t="str">
            <v>Cái</v>
          </cell>
          <cell r="M91">
            <v>450</v>
          </cell>
          <cell r="N91">
            <v>128950</v>
          </cell>
          <cell r="O91">
            <v>58027500</v>
          </cell>
        </row>
        <row r="92">
          <cell r="A92" t="str">
            <v>PN001/02.26</v>
          </cell>
          <cell r="B92">
            <v>205</v>
          </cell>
          <cell r="C92">
            <v>46068</v>
          </cell>
          <cell r="E92" t="str">
            <v/>
          </cell>
          <cell r="F92" t="str">
            <v/>
          </cell>
          <cell r="G92" t="str">
            <v/>
          </cell>
          <cell r="J92" t="str">
            <v>JWG0055</v>
          </cell>
          <cell r="K92" t="str">
            <v>Micro đồ chơi đa chức năng</v>
          </cell>
          <cell r="L92" t="str">
            <v>Cái</v>
          </cell>
          <cell r="M92">
            <v>450</v>
          </cell>
          <cell r="N92">
            <v>154740</v>
          </cell>
          <cell r="O92">
            <v>69633000</v>
          </cell>
        </row>
        <row r="93">
          <cell r="A93" t="str">
            <v>PN001/02.26</v>
          </cell>
          <cell r="B93">
            <v>205</v>
          </cell>
          <cell r="C93">
            <v>46068</v>
          </cell>
          <cell r="E93" t="str">
            <v/>
          </cell>
          <cell r="F93" t="str">
            <v/>
          </cell>
          <cell r="G93" t="str">
            <v/>
          </cell>
          <cell r="J93" t="str">
            <v>JWG0056</v>
          </cell>
          <cell r="K93" t="str">
            <v>Bảng vẽ từ tính đồ chơi</v>
          </cell>
          <cell r="L93" t="str">
            <v>Cái</v>
          </cell>
          <cell r="M93">
            <v>450</v>
          </cell>
          <cell r="N93">
            <v>193425</v>
          </cell>
          <cell r="O93">
            <v>87041250</v>
          </cell>
        </row>
        <row r="94">
          <cell r="A94" t="str">
            <v>PN001/02.26</v>
          </cell>
          <cell r="B94">
            <v>205</v>
          </cell>
          <cell r="C94">
            <v>46068</v>
          </cell>
          <cell r="E94" t="str">
            <v/>
          </cell>
          <cell r="F94" t="str">
            <v/>
          </cell>
          <cell r="G94" t="str">
            <v/>
          </cell>
          <cell r="J94" t="str">
            <v>JWG0057</v>
          </cell>
          <cell r="K94" t="str">
            <v>Xe đồ chơi địa hình dạng bắn (catapult) hình vịt vàng B.Duck,</v>
          </cell>
          <cell r="L94" t="str">
            <v>Cái</v>
          </cell>
          <cell r="M94">
            <v>600</v>
          </cell>
          <cell r="N94">
            <v>103160</v>
          </cell>
          <cell r="O94">
            <v>61896000</v>
          </cell>
        </row>
        <row r="95">
          <cell r="A95" t="str">
            <v>PN001/02.26</v>
          </cell>
          <cell r="B95">
            <v>205</v>
          </cell>
          <cell r="C95">
            <v>46068</v>
          </cell>
          <cell r="E95" t="str">
            <v/>
          </cell>
          <cell r="F95" t="str">
            <v/>
          </cell>
          <cell r="G95" t="str">
            <v/>
          </cell>
          <cell r="J95" t="str">
            <v>JWG0058</v>
          </cell>
          <cell r="K95" t="str">
            <v>Tàu hỏa đồ chơi chạy theo quán tính</v>
          </cell>
          <cell r="L95" t="str">
            <v>Cái</v>
          </cell>
          <cell r="M95">
            <v>600</v>
          </cell>
          <cell r="N95">
            <v>77370</v>
          </cell>
          <cell r="O95">
            <v>46422000</v>
          </cell>
        </row>
        <row r="96">
          <cell r="A96" t="str">
            <v>PN001/02.26</v>
          </cell>
          <cell r="B96">
            <v>205</v>
          </cell>
          <cell r="C96">
            <v>46068</v>
          </cell>
          <cell r="E96" t="str">
            <v/>
          </cell>
          <cell r="F96" t="str">
            <v/>
          </cell>
          <cell r="G96" t="str">
            <v/>
          </cell>
          <cell r="J96" t="str">
            <v>JWG0059</v>
          </cell>
          <cell r="K96" t="str">
            <v>Máy bay đồ chơi chạy theo quán tính</v>
          </cell>
          <cell r="L96" t="str">
            <v>Cái</v>
          </cell>
          <cell r="M96">
            <v>600</v>
          </cell>
          <cell r="N96">
            <v>77370</v>
          </cell>
          <cell r="O96">
            <v>46422000</v>
          </cell>
        </row>
        <row r="97">
          <cell r="A97" t="str">
            <v>PN001/02.26</v>
          </cell>
          <cell r="B97">
            <v>205</v>
          </cell>
          <cell r="C97">
            <v>46068</v>
          </cell>
          <cell r="E97" t="str">
            <v/>
          </cell>
          <cell r="F97" t="str">
            <v/>
          </cell>
          <cell r="G97" t="str">
            <v/>
          </cell>
          <cell r="J97" t="str">
            <v>JWG0011</v>
          </cell>
          <cell r="K97" t="str">
            <v>Vịt lăn chạy bằng quán tính</v>
          </cell>
          <cell r="L97" t="str">
            <v>Cái</v>
          </cell>
          <cell r="M97">
            <v>1050</v>
          </cell>
          <cell r="N97">
            <v>51580</v>
          </cell>
          <cell r="O97">
            <v>54159000</v>
          </cell>
        </row>
        <row r="98">
          <cell r="A98" t="str">
            <v>PN001/02.26</v>
          </cell>
          <cell r="B98">
            <v>205</v>
          </cell>
          <cell r="C98">
            <v>46068</v>
          </cell>
          <cell r="E98" t="str">
            <v/>
          </cell>
          <cell r="F98" t="str">
            <v/>
          </cell>
          <cell r="G98" t="str">
            <v/>
          </cell>
          <cell r="J98" t="str">
            <v>JWG0061</v>
          </cell>
          <cell r="K98" t="str">
            <v>Móc treo trang trí máy tính hình vịt vàng B.Duck</v>
          </cell>
          <cell r="L98" t="str">
            <v>Cái</v>
          </cell>
          <cell r="M98">
            <v>1050</v>
          </cell>
          <cell r="N98">
            <v>77370</v>
          </cell>
          <cell r="O98">
            <v>81238500</v>
          </cell>
        </row>
        <row r="99">
          <cell r="A99" t="str">
            <v>PN001/02.26</v>
          </cell>
          <cell r="B99">
            <v>205</v>
          </cell>
          <cell r="C99">
            <v>46068</v>
          </cell>
          <cell r="E99" t="str">
            <v/>
          </cell>
          <cell r="F99" t="str">
            <v/>
          </cell>
          <cell r="G99" t="str">
            <v/>
          </cell>
          <cell r="J99" t="str">
            <v>JWG0062</v>
          </cell>
          <cell r="K99" t="str">
            <v>Đồ chơi bóp giải tỏa căng thẳng, hình vịt vàng B.Duck, có phát âm thanh, màu xanh</v>
          </cell>
          <cell r="L99" t="str">
            <v>Cái</v>
          </cell>
          <cell r="M99">
            <v>1050</v>
          </cell>
          <cell r="N99">
            <v>90265</v>
          </cell>
          <cell r="O99">
            <v>94778250</v>
          </cell>
        </row>
        <row r="100">
          <cell r="A100" t="str">
            <v>PN001/02.26</v>
          </cell>
          <cell r="B100">
            <v>205</v>
          </cell>
          <cell r="C100">
            <v>46068</v>
          </cell>
          <cell r="E100" t="str">
            <v/>
          </cell>
          <cell r="F100" t="str">
            <v/>
          </cell>
          <cell r="G100" t="str">
            <v/>
          </cell>
          <cell r="J100" t="str">
            <v>JWG0063</v>
          </cell>
          <cell r="K100" t="str">
            <v>Tất (vớ) dệt kim hình vịt B.Duck</v>
          </cell>
          <cell r="L100" t="str">
            <v>Cái</v>
          </cell>
          <cell r="M100">
            <v>10350</v>
          </cell>
          <cell r="N100">
            <v>19342.5</v>
          </cell>
          <cell r="O100">
            <v>200194875</v>
          </cell>
        </row>
        <row r="101">
          <cell r="A101" t="str">
            <v>PN001/02.26</v>
          </cell>
          <cell r="B101">
            <v>205</v>
          </cell>
          <cell r="C101">
            <v>46068</v>
          </cell>
          <cell r="E101" t="str">
            <v/>
          </cell>
          <cell r="F101" t="str">
            <v/>
          </cell>
          <cell r="G101" t="str">
            <v/>
          </cell>
          <cell r="J101" t="str">
            <v>JWC0001</v>
          </cell>
          <cell r="K101" t="str">
            <v>Thẻ thành viên</v>
          </cell>
          <cell r="L101" t="str">
            <v>Cái</v>
          </cell>
          <cell r="M101">
            <v>2000</v>
          </cell>
          <cell r="N101">
            <v>20786.740000000002</v>
          </cell>
          <cell r="O101">
            <v>41573480</v>
          </cell>
        </row>
        <row r="102">
          <cell r="A102" t="str">
            <v>PN001/02.26</v>
          </cell>
          <cell r="B102">
            <v>205</v>
          </cell>
          <cell r="C102">
            <v>46068</v>
          </cell>
          <cell r="E102" t="str">
            <v/>
          </cell>
          <cell r="F102" t="str">
            <v/>
          </cell>
          <cell r="G102" t="str">
            <v/>
          </cell>
          <cell r="J102" t="str">
            <v>JWC0002</v>
          </cell>
          <cell r="K102" t="str">
            <v>Trứng đồ chơi bằng nhựa</v>
          </cell>
          <cell r="L102" t="str">
            <v>Cái</v>
          </cell>
          <cell r="M102">
            <v>20000</v>
          </cell>
          <cell r="N102">
            <v>1031.5999999999999</v>
          </cell>
          <cell r="O102">
            <v>20632000</v>
          </cell>
        </row>
        <row r="103">
          <cell r="B103">
            <v>205</v>
          </cell>
          <cell r="E103" t="str">
            <v/>
          </cell>
          <cell r="F103" t="str">
            <v/>
          </cell>
          <cell r="G103" t="str">
            <v/>
          </cell>
          <cell r="K103" t="str">
            <v/>
          </cell>
          <cell r="L103" t="str">
            <v/>
          </cell>
          <cell r="N103">
            <v>0</v>
          </cell>
        </row>
        <row r="104">
          <cell r="B104">
            <v>205</v>
          </cell>
          <cell r="E104" t="str">
            <v/>
          </cell>
          <cell r="F104" t="str">
            <v/>
          </cell>
          <cell r="G104" t="str">
            <v/>
          </cell>
          <cell r="K104" t="str">
            <v/>
          </cell>
          <cell r="L104" t="str">
            <v/>
          </cell>
          <cell r="N104">
            <v>0</v>
          </cell>
        </row>
        <row r="105">
          <cell r="B105">
            <v>205</v>
          </cell>
          <cell r="E105" t="str">
            <v/>
          </cell>
          <cell r="F105" t="str">
            <v/>
          </cell>
          <cell r="G105" t="str">
            <v/>
          </cell>
          <cell r="K105" t="str">
            <v/>
          </cell>
          <cell r="L105" t="str">
            <v/>
          </cell>
          <cell r="N105">
            <v>0</v>
          </cell>
        </row>
        <row r="106">
          <cell r="B106">
            <v>205</v>
          </cell>
          <cell r="E106" t="str">
            <v/>
          </cell>
          <cell r="F106" t="str">
            <v/>
          </cell>
          <cell r="G106" t="str">
            <v/>
          </cell>
          <cell r="K106" t="str">
            <v/>
          </cell>
          <cell r="L106" t="str">
            <v/>
          </cell>
          <cell r="N106">
            <v>0</v>
          </cell>
        </row>
        <row r="107">
          <cell r="B107">
            <v>205</v>
          </cell>
          <cell r="E107" t="str">
            <v/>
          </cell>
          <cell r="F107" t="str">
            <v/>
          </cell>
          <cell r="G107" t="str">
            <v/>
          </cell>
          <cell r="K107" t="str">
            <v/>
          </cell>
          <cell r="L107" t="str">
            <v/>
          </cell>
          <cell r="N107">
            <v>0</v>
          </cell>
        </row>
        <row r="108">
          <cell r="B108">
            <v>205</v>
          </cell>
          <cell r="E108" t="str">
            <v/>
          </cell>
          <cell r="F108" t="str">
            <v/>
          </cell>
          <cell r="G108" t="str">
            <v/>
          </cell>
          <cell r="K108" t="str">
            <v/>
          </cell>
          <cell r="L108" t="str">
            <v/>
          </cell>
          <cell r="N108">
            <v>0</v>
          </cell>
        </row>
        <row r="109">
          <cell r="B109">
            <v>205</v>
          </cell>
          <cell r="E109" t="str">
            <v/>
          </cell>
          <cell r="F109" t="str">
            <v/>
          </cell>
          <cell r="G109" t="str">
            <v/>
          </cell>
          <cell r="K109" t="str">
            <v/>
          </cell>
          <cell r="L109" t="str">
            <v/>
          </cell>
          <cell r="N109">
            <v>0</v>
          </cell>
        </row>
        <row r="110">
          <cell r="B110">
            <v>205</v>
          </cell>
          <cell r="E110" t="str">
            <v/>
          </cell>
          <cell r="F110" t="str">
            <v/>
          </cell>
          <cell r="G110" t="str">
            <v/>
          </cell>
          <cell r="K110" t="str">
            <v/>
          </cell>
          <cell r="L110" t="str">
            <v/>
          </cell>
          <cell r="N110">
            <v>0</v>
          </cell>
        </row>
        <row r="111">
          <cell r="B111">
            <v>205</v>
          </cell>
          <cell r="E111" t="str">
            <v/>
          </cell>
          <cell r="F111" t="str">
            <v/>
          </cell>
          <cell r="G111" t="str">
            <v/>
          </cell>
          <cell r="K111" t="str">
            <v/>
          </cell>
          <cell r="L111" t="str">
            <v/>
          </cell>
          <cell r="N111">
            <v>0</v>
          </cell>
        </row>
        <row r="112">
          <cell r="B112">
            <v>205</v>
          </cell>
          <cell r="E112" t="str">
            <v/>
          </cell>
          <cell r="F112" t="str">
            <v/>
          </cell>
          <cell r="G112" t="str">
            <v/>
          </cell>
          <cell r="K112" t="str">
            <v/>
          </cell>
          <cell r="L112" t="str">
            <v/>
          </cell>
          <cell r="N112">
            <v>0</v>
          </cell>
        </row>
        <row r="113">
          <cell r="B113">
            <v>205</v>
          </cell>
          <cell r="E113" t="str">
            <v/>
          </cell>
          <cell r="F113" t="str">
            <v/>
          </cell>
          <cell r="G113" t="str">
            <v/>
          </cell>
          <cell r="K113" t="str">
            <v/>
          </cell>
          <cell r="L113" t="str">
            <v/>
          </cell>
          <cell r="N113">
            <v>0</v>
          </cell>
        </row>
        <row r="114">
          <cell r="B114">
            <v>205</v>
          </cell>
          <cell r="E114" t="str">
            <v/>
          </cell>
          <cell r="F114" t="str">
            <v/>
          </cell>
          <cell r="G114" t="str">
            <v/>
          </cell>
          <cell r="K114" t="str">
            <v/>
          </cell>
          <cell r="L114" t="str">
            <v/>
          </cell>
          <cell r="N114">
            <v>0</v>
          </cell>
        </row>
        <row r="115">
          <cell r="B115">
            <v>205</v>
          </cell>
          <cell r="E115" t="str">
            <v/>
          </cell>
          <cell r="F115" t="str">
            <v/>
          </cell>
          <cell r="G115" t="str">
            <v/>
          </cell>
          <cell r="K115" t="str">
            <v/>
          </cell>
          <cell r="L115" t="str">
            <v/>
          </cell>
          <cell r="N115">
            <v>0</v>
          </cell>
        </row>
        <row r="116">
          <cell r="B116">
            <v>205</v>
          </cell>
          <cell r="E116" t="str">
            <v/>
          </cell>
          <cell r="F116" t="str">
            <v/>
          </cell>
          <cell r="G116" t="str">
            <v/>
          </cell>
          <cell r="K116" t="str">
            <v/>
          </cell>
          <cell r="L116" t="str">
            <v/>
          </cell>
          <cell r="N116">
            <v>0</v>
          </cell>
        </row>
        <row r="117">
          <cell r="B117">
            <v>205</v>
          </cell>
          <cell r="E117" t="str">
            <v/>
          </cell>
          <cell r="F117" t="str">
            <v/>
          </cell>
          <cell r="G117" t="str">
            <v/>
          </cell>
          <cell r="K117" t="str">
            <v/>
          </cell>
          <cell r="L117" t="str">
            <v/>
          </cell>
          <cell r="N117">
            <v>0</v>
          </cell>
        </row>
        <row r="118">
          <cell r="B118">
            <v>205</v>
          </cell>
          <cell r="E118" t="str">
            <v/>
          </cell>
          <cell r="F118" t="str">
            <v/>
          </cell>
          <cell r="G118" t="str">
            <v/>
          </cell>
          <cell r="K118" t="str">
            <v/>
          </cell>
          <cell r="L118" t="str">
            <v/>
          </cell>
          <cell r="N118">
            <v>0</v>
          </cell>
        </row>
        <row r="119">
          <cell r="B119">
            <v>205</v>
          </cell>
          <cell r="E119" t="str">
            <v/>
          </cell>
          <cell r="F119" t="str">
            <v/>
          </cell>
          <cell r="G119" t="str">
            <v/>
          </cell>
          <cell r="K119" t="str">
            <v/>
          </cell>
          <cell r="L119" t="str">
            <v/>
          </cell>
          <cell r="N119">
            <v>0</v>
          </cell>
        </row>
        <row r="120">
          <cell r="B120">
            <v>205</v>
          </cell>
          <cell r="E120" t="str">
            <v/>
          </cell>
          <cell r="F120" t="str">
            <v/>
          </cell>
          <cell r="G120" t="str">
            <v/>
          </cell>
          <cell r="K120" t="str">
            <v/>
          </cell>
          <cell r="L120" t="str">
            <v/>
          </cell>
          <cell r="N120">
            <v>0</v>
          </cell>
        </row>
        <row r="121">
          <cell r="B121">
            <v>205</v>
          </cell>
          <cell r="E121" t="str">
            <v/>
          </cell>
          <cell r="F121" t="str">
            <v/>
          </cell>
          <cell r="G121" t="str">
            <v/>
          </cell>
          <cell r="K121" t="str">
            <v/>
          </cell>
          <cell r="L121" t="str">
            <v/>
          </cell>
          <cell r="N121">
            <v>0</v>
          </cell>
        </row>
        <row r="122">
          <cell r="B122">
            <v>205</v>
          </cell>
          <cell r="E122" t="str">
            <v/>
          </cell>
          <cell r="F122" t="str">
            <v/>
          </cell>
          <cell r="G122" t="str">
            <v/>
          </cell>
          <cell r="K122" t="str">
            <v/>
          </cell>
          <cell r="L122" t="str">
            <v/>
          </cell>
          <cell r="N122">
            <v>0</v>
          </cell>
        </row>
        <row r="123">
          <cell r="B123">
            <v>205</v>
          </cell>
          <cell r="E123" t="str">
            <v/>
          </cell>
          <cell r="F123" t="str">
            <v/>
          </cell>
          <cell r="G123" t="str">
            <v/>
          </cell>
          <cell r="K123" t="str">
            <v/>
          </cell>
          <cell r="L123" t="str">
            <v/>
          </cell>
          <cell r="N123">
            <v>0</v>
          </cell>
        </row>
        <row r="124">
          <cell r="B124">
            <v>205</v>
          </cell>
          <cell r="E124" t="str">
            <v/>
          </cell>
          <cell r="F124" t="str">
            <v/>
          </cell>
          <cell r="G124" t="str">
            <v/>
          </cell>
          <cell r="K124" t="str">
            <v/>
          </cell>
          <cell r="L124" t="str">
            <v/>
          </cell>
          <cell r="N124">
            <v>0</v>
          </cell>
        </row>
        <row r="125">
          <cell r="B125">
            <v>205</v>
          </cell>
          <cell r="E125" t="str">
            <v/>
          </cell>
          <cell r="F125" t="str">
            <v/>
          </cell>
          <cell r="G125" t="str">
            <v/>
          </cell>
          <cell r="K125" t="str">
            <v/>
          </cell>
          <cell r="L125" t="str">
            <v/>
          </cell>
          <cell r="N125">
            <v>0</v>
          </cell>
        </row>
        <row r="126">
          <cell r="B126">
            <v>205</v>
          </cell>
          <cell r="E126" t="str">
            <v/>
          </cell>
          <cell r="F126" t="str">
            <v/>
          </cell>
          <cell r="G126" t="str">
            <v/>
          </cell>
          <cell r="K126" t="str">
            <v/>
          </cell>
          <cell r="L126" t="str">
            <v/>
          </cell>
          <cell r="N126">
            <v>0</v>
          </cell>
        </row>
        <row r="127">
          <cell r="B127">
            <v>205</v>
          </cell>
          <cell r="E127" t="str">
            <v/>
          </cell>
          <cell r="F127" t="str">
            <v/>
          </cell>
          <cell r="G127" t="str">
            <v/>
          </cell>
          <cell r="K127" t="str">
            <v/>
          </cell>
          <cell r="L127" t="str">
            <v/>
          </cell>
          <cell r="N127">
            <v>0</v>
          </cell>
        </row>
        <row r="128">
          <cell r="B128">
            <v>205</v>
          </cell>
          <cell r="E128" t="str">
            <v/>
          </cell>
          <cell r="F128" t="str">
            <v/>
          </cell>
          <cell r="G128" t="str">
            <v/>
          </cell>
          <cell r="K128" t="str">
            <v/>
          </cell>
          <cell r="L128" t="str">
            <v/>
          </cell>
          <cell r="N128">
            <v>0</v>
          </cell>
        </row>
        <row r="129">
          <cell r="B129">
            <v>205</v>
          </cell>
          <cell r="E129" t="str">
            <v/>
          </cell>
          <cell r="F129" t="str">
            <v/>
          </cell>
          <cell r="G129" t="str">
            <v/>
          </cell>
          <cell r="K129" t="str">
            <v/>
          </cell>
          <cell r="L129" t="str">
            <v/>
          </cell>
          <cell r="N129">
            <v>0</v>
          </cell>
        </row>
        <row r="130">
          <cell r="B130">
            <v>205</v>
          </cell>
          <cell r="E130" t="str">
            <v/>
          </cell>
          <cell r="F130" t="str">
            <v/>
          </cell>
          <cell r="G130" t="str">
            <v/>
          </cell>
          <cell r="K130" t="str">
            <v/>
          </cell>
          <cell r="L130" t="str">
            <v/>
          </cell>
          <cell r="N130">
            <v>0</v>
          </cell>
        </row>
        <row r="131">
          <cell r="B131">
            <v>205</v>
          </cell>
          <cell r="E131" t="str">
            <v/>
          </cell>
          <cell r="F131" t="str">
            <v/>
          </cell>
          <cell r="G131" t="str">
            <v/>
          </cell>
          <cell r="K131" t="str">
            <v/>
          </cell>
          <cell r="L131" t="str">
            <v/>
          </cell>
          <cell r="N131">
            <v>0</v>
          </cell>
        </row>
        <row r="132">
          <cell r="B132">
            <v>205</v>
          </cell>
          <cell r="E132" t="str">
            <v/>
          </cell>
          <cell r="F132" t="str">
            <v/>
          </cell>
          <cell r="G132" t="str">
            <v/>
          </cell>
          <cell r="K132" t="str">
            <v/>
          </cell>
          <cell r="L132" t="str">
            <v/>
          </cell>
          <cell r="N132">
            <v>0</v>
          </cell>
        </row>
        <row r="133">
          <cell r="B133">
            <v>205</v>
          </cell>
          <cell r="E133" t="str">
            <v/>
          </cell>
          <cell r="F133" t="str">
            <v/>
          </cell>
          <cell r="G133" t="str">
            <v/>
          </cell>
          <cell r="K133" t="str">
            <v/>
          </cell>
          <cell r="L133" t="str">
            <v/>
          </cell>
          <cell r="N133">
            <v>0</v>
          </cell>
        </row>
        <row r="134">
          <cell r="B134">
            <v>205</v>
          </cell>
          <cell r="E134" t="str">
            <v/>
          </cell>
          <cell r="F134" t="str">
            <v/>
          </cell>
          <cell r="G134" t="str">
            <v/>
          </cell>
          <cell r="K134" t="str">
            <v/>
          </cell>
          <cell r="L134" t="str">
            <v/>
          </cell>
          <cell r="N134">
            <v>0</v>
          </cell>
        </row>
        <row r="135">
          <cell r="B135">
            <v>205</v>
          </cell>
          <cell r="E135" t="str">
            <v/>
          </cell>
          <cell r="F135" t="str">
            <v/>
          </cell>
          <cell r="G135" t="str">
            <v/>
          </cell>
          <cell r="K135" t="str">
            <v/>
          </cell>
          <cell r="L135" t="str">
            <v/>
          </cell>
          <cell r="N135">
            <v>0</v>
          </cell>
        </row>
        <row r="136">
          <cell r="B136">
            <v>205</v>
          </cell>
          <cell r="E136" t="str">
            <v/>
          </cell>
          <cell r="F136" t="str">
            <v/>
          </cell>
          <cell r="G136" t="str">
            <v/>
          </cell>
          <cell r="K136" t="str">
            <v/>
          </cell>
          <cell r="L136" t="str">
            <v/>
          </cell>
          <cell r="N136">
            <v>0</v>
          </cell>
        </row>
        <row r="137">
          <cell r="B137">
            <v>205</v>
          </cell>
          <cell r="E137" t="str">
            <v/>
          </cell>
          <cell r="F137" t="str">
            <v/>
          </cell>
          <cell r="G137" t="str">
            <v/>
          </cell>
          <cell r="K137" t="str">
            <v/>
          </cell>
          <cell r="L137" t="str">
            <v/>
          </cell>
          <cell r="N137">
            <v>0</v>
          </cell>
        </row>
        <row r="138">
          <cell r="B138">
            <v>205</v>
          </cell>
          <cell r="E138" t="str">
            <v/>
          </cell>
          <cell r="F138" t="str">
            <v/>
          </cell>
          <cell r="G138" t="str">
            <v/>
          </cell>
          <cell r="K138" t="str">
            <v/>
          </cell>
          <cell r="L138" t="str">
            <v/>
          </cell>
          <cell r="N138">
            <v>0</v>
          </cell>
        </row>
        <row r="139">
          <cell r="B139">
            <v>205</v>
          </cell>
          <cell r="E139" t="str">
            <v/>
          </cell>
          <cell r="F139" t="str">
            <v/>
          </cell>
          <cell r="G139" t="str">
            <v/>
          </cell>
          <cell r="K139" t="str">
            <v/>
          </cell>
          <cell r="L139" t="str">
            <v/>
          </cell>
          <cell r="N139">
            <v>0</v>
          </cell>
        </row>
        <row r="140">
          <cell r="B140">
            <v>205</v>
          </cell>
          <cell r="E140" t="str">
            <v/>
          </cell>
          <cell r="F140" t="str">
            <v/>
          </cell>
          <cell r="G140" t="str">
            <v/>
          </cell>
          <cell r="K140" t="str">
            <v/>
          </cell>
          <cell r="L140" t="str">
            <v/>
          </cell>
          <cell r="N140">
            <v>0</v>
          </cell>
        </row>
        <row r="141">
          <cell r="B141">
            <v>205</v>
          </cell>
          <cell r="E141" t="str">
            <v/>
          </cell>
          <cell r="F141" t="str">
            <v/>
          </cell>
          <cell r="G141" t="str">
            <v/>
          </cell>
          <cell r="K141" t="str">
            <v/>
          </cell>
          <cell r="L141" t="str">
            <v/>
          </cell>
          <cell r="N141">
            <v>0</v>
          </cell>
        </row>
        <row r="142">
          <cell r="B142">
            <v>205</v>
          </cell>
          <cell r="E142" t="str">
            <v/>
          </cell>
          <cell r="F142" t="str">
            <v/>
          </cell>
          <cell r="G142" t="str">
            <v/>
          </cell>
          <cell r="K142" t="str">
            <v/>
          </cell>
          <cell r="L142" t="str">
            <v/>
          </cell>
          <cell r="N142">
            <v>0</v>
          </cell>
        </row>
        <row r="143">
          <cell r="B143">
            <v>205</v>
          </cell>
          <cell r="E143" t="str">
            <v/>
          </cell>
          <cell r="F143" t="str">
            <v/>
          </cell>
          <cell r="G143" t="str">
            <v/>
          </cell>
          <cell r="K143" t="str">
            <v/>
          </cell>
          <cell r="L143" t="str">
            <v/>
          </cell>
          <cell r="N143">
            <v>0</v>
          </cell>
        </row>
        <row r="144">
          <cell r="B144">
            <v>205</v>
          </cell>
          <cell r="E144" t="str">
            <v/>
          </cell>
          <cell r="F144" t="str">
            <v/>
          </cell>
          <cell r="G144" t="str">
            <v/>
          </cell>
          <cell r="K144" t="str">
            <v/>
          </cell>
          <cell r="L144" t="str">
            <v/>
          </cell>
          <cell r="N144">
            <v>0</v>
          </cell>
        </row>
        <row r="145">
          <cell r="B145">
            <v>205</v>
          </cell>
          <cell r="E145" t="str">
            <v/>
          </cell>
          <cell r="F145" t="str">
            <v/>
          </cell>
          <cell r="G145" t="str">
            <v/>
          </cell>
          <cell r="K145" t="str">
            <v/>
          </cell>
          <cell r="L145" t="str">
            <v/>
          </cell>
          <cell r="N145">
            <v>0</v>
          </cell>
        </row>
        <row r="146">
          <cell r="B146">
            <v>205</v>
          </cell>
          <cell r="E146" t="str">
            <v/>
          </cell>
          <cell r="F146" t="str">
            <v/>
          </cell>
          <cell r="G146" t="str">
            <v/>
          </cell>
          <cell r="K146" t="str">
            <v/>
          </cell>
          <cell r="L146" t="str">
            <v/>
          </cell>
          <cell r="N146">
            <v>0</v>
          </cell>
        </row>
        <row r="147">
          <cell r="B147">
            <v>205</v>
          </cell>
          <cell r="E147" t="str">
            <v/>
          </cell>
          <cell r="F147" t="str">
            <v/>
          </cell>
          <cell r="G147" t="str">
            <v/>
          </cell>
          <cell r="K147" t="str">
            <v/>
          </cell>
          <cell r="L147" t="str">
            <v/>
          </cell>
          <cell r="N147">
            <v>0</v>
          </cell>
        </row>
        <row r="148">
          <cell r="B148">
            <v>205</v>
          </cell>
          <cell r="E148" t="str">
            <v/>
          </cell>
          <cell r="F148" t="str">
            <v/>
          </cell>
          <cell r="G148" t="str">
            <v/>
          </cell>
          <cell r="K148" t="str">
            <v/>
          </cell>
          <cell r="L148" t="str">
            <v/>
          </cell>
          <cell r="N148">
            <v>0</v>
          </cell>
        </row>
        <row r="149">
          <cell r="B149">
            <v>205</v>
          </cell>
          <cell r="E149" t="str">
            <v/>
          </cell>
          <cell r="F149" t="str">
            <v/>
          </cell>
          <cell r="G149" t="str">
            <v/>
          </cell>
          <cell r="K149" t="str">
            <v/>
          </cell>
          <cell r="L149" t="str">
            <v/>
          </cell>
          <cell r="N149">
            <v>0</v>
          </cell>
        </row>
        <row r="150">
          <cell r="B150">
            <v>205</v>
          </cell>
          <cell r="E150" t="str">
            <v/>
          </cell>
          <cell r="F150" t="str">
            <v/>
          </cell>
          <cell r="G150" t="str">
            <v/>
          </cell>
          <cell r="K150" t="str">
            <v/>
          </cell>
          <cell r="L150" t="str">
            <v/>
          </cell>
          <cell r="N150">
            <v>0</v>
          </cell>
        </row>
        <row r="151">
          <cell r="B151">
            <v>205</v>
          </cell>
          <cell r="E151" t="str">
            <v/>
          </cell>
          <cell r="F151" t="str">
            <v/>
          </cell>
          <cell r="G151" t="str">
            <v/>
          </cell>
          <cell r="K151" t="str">
            <v/>
          </cell>
          <cell r="L151" t="str">
            <v/>
          </cell>
          <cell r="N151">
            <v>0</v>
          </cell>
        </row>
        <row r="152">
          <cell r="B152">
            <v>205</v>
          </cell>
          <cell r="E152" t="str">
            <v/>
          </cell>
          <cell r="F152" t="str">
            <v/>
          </cell>
          <cell r="G152" t="str">
            <v/>
          </cell>
          <cell r="K152" t="str">
            <v/>
          </cell>
          <cell r="L152" t="str">
            <v/>
          </cell>
          <cell r="N152">
            <v>0</v>
          </cell>
        </row>
        <row r="153">
          <cell r="B153">
            <v>205</v>
          </cell>
          <cell r="E153" t="str">
            <v/>
          </cell>
          <cell r="F153" t="str">
            <v/>
          </cell>
          <cell r="G153" t="str">
            <v/>
          </cell>
          <cell r="K153" t="str">
            <v/>
          </cell>
          <cell r="L153" t="str">
            <v/>
          </cell>
          <cell r="N153">
            <v>0</v>
          </cell>
        </row>
        <row r="154">
          <cell r="B154">
            <v>205</v>
          </cell>
          <cell r="E154" t="str">
            <v/>
          </cell>
          <cell r="F154" t="str">
            <v/>
          </cell>
          <cell r="G154" t="str">
            <v/>
          </cell>
          <cell r="K154" t="str">
            <v/>
          </cell>
          <cell r="L154" t="str">
            <v/>
          </cell>
          <cell r="N154">
            <v>0</v>
          </cell>
        </row>
        <row r="155">
          <cell r="B155">
            <v>205</v>
          </cell>
          <cell r="E155" t="str">
            <v/>
          </cell>
          <cell r="F155" t="str">
            <v/>
          </cell>
          <cell r="G155" t="str">
            <v/>
          </cell>
          <cell r="K155" t="str">
            <v/>
          </cell>
          <cell r="L155" t="str">
            <v/>
          </cell>
          <cell r="N155">
            <v>0</v>
          </cell>
        </row>
        <row r="156">
          <cell r="B156">
            <v>205</v>
          </cell>
          <cell r="E156" t="str">
            <v/>
          </cell>
          <cell r="F156" t="str">
            <v/>
          </cell>
          <cell r="G156" t="str">
            <v/>
          </cell>
          <cell r="K156" t="str">
            <v/>
          </cell>
          <cell r="L156" t="str">
            <v/>
          </cell>
          <cell r="N156">
            <v>0</v>
          </cell>
        </row>
        <row r="157">
          <cell r="B157">
            <v>205</v>
          </cell>
          <cell r="E157" t="str">
            <v/>
          </cell>
          <cell r="F157" t="str">
            <v/>
          </cell>
          <cell r="G157" t="str">
            <v/>
          </cell>
          <cell r="K157" t="str">
            <v/>
          </cell>
          <cell r="L157" t="str">
            <v/>
          </cell>
          <cell r="N157">
            <v>0</v>
          </cell>
        </row>
        <row r="158">
          <cell r="B158">
            <v>205</v>
          </cell>
          <cell r="E158" t="str">
            <v/>
          </cell>
          <cell r="F158" t="str">
            <v/>
          </cell>
          <cell r="G158" t="str">
            <v/>
          </cell>
          <cell r="K158" t="str">
            <v/>
          </cell>
          <cell r="L158" t="str">
            <v/>
          </cell>
          <cell r="N158">
            <v>0</v>
          </cell>
        </row>
        <row r="159">
          <cell r="B159">
            <v>205</v>
          </cell>
          <cell r="E159" t="str">
            <v/>
          </cell>
          <cell r="F159" t="str">
            <v/>
          </cell>
          <cell r="G159" t="str">
            <v/>
          </cell>
          <cell r="K159" t="str">
            <v/>
          </cell>
          <cell r="L159" t="str">
            <v/>
          </cell>
          <cell r="N159">
            <v>0</v>
          </cell>
        </row>
        <row r="160">
          <cell r="B160">
            <v>205</v>
          </cell>
          <cell r="E160" t="str">
            <v/>
          </cell>
          <cell r="F160" t="str">
            <v/>
          </cell>
          <cell r="G160" t="str">
            <v/>
          </cell>
          <cell r="K160" t="str">
            <v/>
          </cell>
          <cell r="L160" t="str">
            <v/>
          </cell>
          <cell r="N160">
            <v>0</v>
          </cell>
        </row>
        <row r="161">
          <cell r="B161">
            <v>205</v>
          </cell>
          <cell r="E161" t="str">
            <v/>
          </cell>
          <cell r="F161" t="str">
            <v/>
          </cell>
          <cell r="G161" t="str">
            <v/>
          </cell>
          <cell r="K161" t="str">
            <v/>
          </cell>
          <cell r="L161" t="str">
            <v/>
          </cell>
          <cell r="N161">
            <v>0</v>
          </cell>
        </row>
        <row r="162">
          <cell r="B162">
            <v>205</v>
          </cell>
          <cell r="E162" t="str">
            <v/>
          </cell>
          <cell r="F162" t="str">
            <v/>
          </cell>
          <cell r="G162" t="str">
            <v/>
          </cell>
          <cell r="K162" t="str">
            <v/>
          </cell>
          <cell r="L162" t="str">
            <v/>
          </cell>
          <cell r="N162">
            <v>0</v>
          </cell>
        </row>
        <row r="163">
          <cell r="B163">
            <v>205</v>
          </cell>
          <cell r="E163" t="str">
            <v/>
          </cell>
          <cell r="F163" t="str">
            <v/>
          </cell>
          <cell r="G163" t="str">
            <v/>
          </cell>
          <cell r="K163" t="str">
            <v/>
          </cell>
          <cell r="L163" t="str">
            <v/>
          </cell>
          <cell r="N163">
            <v>0</v>
          </cell>
        </row>
        <row r="164">
          <cell r="B164">
            <v>205</v>
          </cell>
          <cell r="E164" t="str">
            <v/>
          </cell>
          <cell r="F164" t="str">
            <v/>
          </cell>
          <cell r="G164" t="str">
            <v/>
          </cell>
          <cell r="K164" t="str">
            <v/>
          </cell>
          <cell r="L164" t="str">
            <v/>
          </cell>
          <cell r="N164">
            <v>0</v>
          </cell>
        </row>
        <row r="165">
          <cell r="B165">
            <v>205</v>
          </cell>
          <cell r="E165" t="str">
            <v/>
          </cell>
          <cell r="F165" t="str">
            <v/>
          </cell>
          <cell r="G165" t="str">
            <v/>
          </cell>
          <cell r="K165" t="str">
            <v/>
          </cell>
          <cell r="L165" t="str">
            <v/>
          </cell>
          <cell r="N165">
            <v>0</v>
          </cell>
        </row>
        <row r="166">
          <cell r="B166">
            <v>205</v>
          </cell>
          <cell r="E166" t="str">
            <v/>
          </cell>
          <cell r="F166" t="str">
            <v/>
          </cell>
          <cell r="G166" t="str">
            <v/>
          </cell>
          <cell r="K166" t="str">
            <v/>
          </cell>
          <cell r="L166" t="str">
            <v/>
          </cell>
          <cell r="N166">
            <v>0</v>
          </cell>
        </row>
        <row r="167">
          <cell r="B167">
            <v>205</v>
          </cell>
          <cell r="E167" t="str">
            <v/>
          </cell>
          <cell r="F167" t="str">
            <v/>
          </cell>
          <cell r="G167" t="str">
            <v/>
          </cell>
          <cell r="K167" t="str">
            <v/>
          </cell>
          <cell r="L167" t="str">
            <v/>
          </cell>
          <cell r="N167">
            <v>0</v>
          </cell>
        </row>
        <row r="168">
          <cell r="B168">
            <v>205</v>
          </cell>
          <cell r="E168" t="str">
            <v/>
          </cell>
          <cell r="F168" t="str">
            <v/>
          </cell>
          <cell r="G168" t="str">
            <v/>
          </cell>
          <cell r="K168" t="str">
            <v/>
          </cell>
          <cell r="L168" t="str">
            <v/>
          </cell>
          <cell r="N168">
            <v>0</v>
          </cell>
        </row>
        <row r="169">
          <cell r="B169">
            <v>205</v>
          </cell>
          <cell r="E169" t="str">
            <v/>
          </cell>
          <cell r="F169" t="str">
            <v/>
          </cell>
          <cell r="G169" t="str">
            <v/>
          </cell>
          <cell r="K169" t="str">
            <v/>
          </cell>
          <cell r="L169" t="str">
            <v/>
          </cell>
          <cell r="N169">
            <v>0</v>
          </cell>
        </row>
        <row r="170">
          <cell r="B170">
            <v>205</v>
          </cell>
          <cell r="E170" t="str">
            <v/>
          </cell>
          <cell r="F170" t="str">
            <v/>
          </cell>
          <cell r="G170" t="str">
            <v/>
          </cell>
          <cell r="K170" t="str">
            <v/>
          </cell>
          <cell r="L170" t="str">
            <v/>
          </cell>
          <cell r="N170">
            <v>0</v>
          </cell>
        </row>
        <row r="171">
          <cell r="B171">
            <v>205</v>
          </cell>
          <cell r="E171" t="str">
            <v/>
          </cell>
          <cell r="F171" t="str">
            <v/>
          </cell>
          <cell r="G171" t="str">
            <v/>
          </cell>
          <cell r="K171" t="str">
            <v/>
          </cell>
          <cell r="L171" t="str">
            <v/>
          </cell>
          <cell r="N171">
            <v>0</v>
          </cell>
        </row>
        <row r="172">
          <cell r="B172">
            <v>205</v>
          </cell>
          <cell r="E172" t="str">
            <v/>
          </cell>
          <cell r="F172" t="str">
            <v/>
          </cell>
          <cell r="G172" t="str">
            <v/>
          </cell>
          <cell r="K172" t="str">
            <v/>
          </cell>
          <cell r="L172" t="str">
            <v/>
          </cell>
          <cell r="N172">
            <v>0</v>
          </cell>
        </row>
        <row r="173">
          <cell r="B173">
            <v>205</v>
          </cell>
          <cell r="E173" t="str">
            <v/>
          </cell>
          <cell r="F173" t="str">
            <v/>
          </cell>
          <cell r="G173" t="str">
            <v/>
          </cell>
          <cell r="K173" t="str">
            <v/>
          </cell>
          <cell r="L173" t="str">
            <v/>
          </cell>
          <cell r="N173">
            <v>0</v>
          </cell>
        </row>
        <row r="174">
          <cell r="B174">
            <v>205</v>
          </cell>
          <cell r="E174" t="str">
            <v/>
          </cell>
          <cell r="F174" t="str">
            <v/>
          </cell>
          <cell r="G174" t="str">
            <v/>
          </cell>
          <cell r="K174" t="str">
            <v/>
          </cell>
          <cell r="L174" t="str">
            <v/>
          </cell>
          <cell r="N174">
            <v>0</v>
          </cell>
        </row>
        <row r="175">
          <cell r="B175">
            <v>205</v>
          </cell>
          <cell r="E175" t="str">
            <v/>
          </cell>
          <cell r="F175" t="str">
            <v/>
          </cell>
          <cell r="G175" t="str">
            <v/>
          </cell>
          <cell r="K175" t="str">
            <v/>
          </cell>
          <cell r="L175" t="str">
            <v/>
          </cell>
          <cell r="N175">
            <v>0</v>
          </cell>
        </row>
        <row r="176">
          <cell r="B176">
            <v>205</v>
          </cell>
          <cell r="E176" t="str">
            <v/>
          </cell>
          <cell r="F176" t="str">
            <v/>
          </cell>
          <cell r="G176" t="str">
            <v/>
          </cell>
          <cell r="K176" t="str">
            <v/>
          </cell>
          <cell r="L176" t="str">
            <v/>
          </cell>
          <cell r="N176">
            <v>0</v>
          </cell>
        </row>
        <row r="177">
          <cell r="B177">
            <v>205</v>
          </cell>
          <cell r="E177" t="str">
            <v/>
          </cell>
          <cell r="F177" t="str">
            <v/>
          </cell>
          <cell r="G177" t="str">
            <v/>
          </cell>
          <cell r="K177" t="str">
            <v/>
          </cell>
          <cell r="L177" t="str">
            <v/>
          </cell>
          <cell r="N177">
            <v>0</v>
          </cell>
        </row>
        <row r="178">
          <cell r="B178">
            <v>205</v>
          </cell>
          <cell r="E178" t="str">
            <v/>
          </cell>
          <cell r="F178" t="str">
            <v/>
          </cell>
          <cell r="G178" t="str">
            <v/>
          </cell>
          <cell r="K178" t="str">
            <v/>
          </cell>
          <cell r="L178" t="str">
            <v/>
          </cell>
          <cell r="N178">
            <v>0</v>
          </cell>
        </row>
        <row r="179">
          <cell r="B179">
            <v>205</v>
          </cell>
          <cell r="E179" t="str">
            <v/>
          </cell>
          <cell r="F179" t="str">
            <v/>
          </cell>
          <cell r="G179" t="str">
            <v/>
          </cell>
          <cell r="K179" t="str">
            <v/>
          </cell>
          <cell r="L179" t="str">
            <v/>
          </cell>
          <cell r="N179">
            <v>0</v>
          </cell>
        </row>
        <row r="180">
          <cell r="B180">
            <v>205</v>
          </cell>
          <cell r="E180" t="str">
            <v/>
          </cell>
          <cell r="F180" t="str">
            <v/>
          </cell>
          <cell r="G180" t="str">
            <v/>
          </cell>
          <cell r="K180" t="str">
            <v/>
          </cell>
          <cell r="L180" t="str">
            <v/>
          </cell>
          <cell r="N180">
            <v>0</v>
          </cell>
        </row>
        <row r="181">
          <cell r="B181">
            <v>205</v>
          </cell>
          <cell r="E181" t="str">
            <v/>
          </cell>
          <cell r="F181" t="str">
            <v/>
          </cell>
          <cell r="G181" t="str">
            <v/>
          </cell>
          <cell r="K181" t="str">
            <v/>
          </cell>
          <cell r="L181" t="str">
            <v/>
          </cell>
          <cell r="N181">
            <v>0</v>
          </cell>
        </row>
        <row r="182">
          <cell r="B182">
            <v>205</v>
          </cell>
          <cell r="E182" t="str">
            <v/>
          </cell>
          <cell r="F182" t="str">
            <v/>
          </cell>
          <cell r="G182" t="str">
            <v/>
          </cell>
          <cell r="K182" t="str">
            <v/>
          </cell>
          <cell r="L182" t="str">
            <v/>
          </cell>
          <cell r="N182">
            <v>0</v>
          </cell>
        </row>
        <row r="183">
          <cell r="B183">
            <v>205</v>
          </cell>
          <cell r="E183" t="str">
            <v/>
          </cell>
          <cell r="F183" t="str">
            <v/>
          </cell>
          <cell r="G183" t="str">
            <v/>
          </cell>
          <cell r="K183" t="str">
            <v/>
          </cell>
          <cell r="L183" t="str">
            <v/>
          </cell>
          <cell r="N183">
            <v>0</v>
          </cell>
        </row>
        <row r="184">
          <cell r="B184">
            <v>205</v>
          </cell>
          <cell r="E184" t="str">
            <v/>
          </cell>
          <cell r="F184" t="str">
            <v/>
          </cell>
          <cell r="G184" t="str">
            <v/>
          </cell>
          <cell r="K184" t="str">
            <v/>
          </cell>
          <cell r="L184" t="str">
            <v/>
          </cell>
          <cell r="N184">
            <v>0</v>
          </cell>
        </row>
        <row r="185">
          <cell r="B185">
            <v>205</v>
          </cell>
          <cell r="E185" t="str">
            <v/>
          </cell>
          <cell r="F185" t="str">
            <v/>
          </cell>
          <cell r="G185" t="str">
            <v/>
          </cell>
          <cell r="K185" t="str">
            <v/>
          </cell>
          <cell r="L185" t="str">
            <v/>
          </cell>
          <cell r="N185">
            <v>0</v>
          </cell>
        </row>
        <row r="186">
          <cell r="B186">
            <v>205</v>
          </cell>
          <cell r="E186" t="str">
            <v/>
          </cell>
          <cell r="F186" t="str">
            <v/>
          </cell>
          <cell r="G186" t="str">
            <v/>
          </cell>
          <cell r="K186" t="str">
            <v/>
          </cell>
          <cell r="L186" t="str">
            <v/>
          </cell>
          <cell r="N186">
            <v>0</v>
          </cell>
        </row>
        <row r="187">
          <cell r="B187">
            <v>205</v>
          </cell>
          <cell r="E187" t="str">
            <v/>
          </cell>
          <cell r="F187" t="str">
            <v/>
          </cell>
          <cell r="G187" t="str">
            <v/>
          </cell>
          <cell r="K187" t="str">
            <v/>
          </cell>
          <cell r="L187" t="str">
            <v/>
          </cell>
          <cell r="N187">
            <v>0</v>
          </cell>
        </row>
        <row r="188">
          <cell r="B188">
            <v>205</v>
          </cell>
          <cell r="E188" t="str">
            <v/>
          </cell>
          <cell r="F188" t="str">
            <v/>
          </cell>
          <cell r="G188" t="str">
            <v/>
          </cell>
          <cell r="K188" t="str">
            <v/>
          </cell>
          <cell r="L188" t="str">
            <v/>
          </cell>
          <cell r="N188">
            <v>0</v>
          </cell>
        </row>
        <row r="189">
          <cell r="B189">
            <v>205</v>
          </cell>
          <cell r="E189" t="str">
            <v/>
          </cell>
          <cell r="F189" t="str">
            <v/>
          </cell>
          <cell r="G189" t="str">
            <v/>
          </cell>
          <cell r="K189" t="str">
            <v/>
          </cell>
          <cell r="L189" t="str">
            <v/>
          </cell>
          <cell r="N189">
            <v>0</v>
          </cell>
        </row>
        <row r="190">
          <cell r="B190">
            <v>205</v>
          </cell>
          <cell r="E190" t="str">
            <v/>
          </cell>
          <cell r="F190" t="str">
            <v/>
          </cell>
          <cell r="G190" t="str">
            <v/>
          </cell>
          <cell r="K190" t="str">
            <v/>
          </cell>
          <cell r="L190" t="str">
            <v/>
          </cell>
          <cell r="N190">
            <v>0</v>
          </cell>
        </row>
        <row r="191">
          <cell r="B191">
            <v>205</v>
          </cell>
          <cell r="E191" t="str">
            <v/>
          </cell>
          <cell r="F191" t="str">
            <v/>
          </cell>
          <cell r="G191" t="str">
            <v/>
          </cell>
          <cell r="K191" t="str">
            <v/>
          </cell>
          <cell r="L191" t="str">
            <v/>
          </cell>
          <cell r="N191">
            <v>0</v>
          </cell>
        </row>
        <row r="192">
          <cell r="B192">
            <v>205</v>
          </cell>
          <cell r="E192" t="str">
            <v/>
          </cell>
          <cell r="F192" t="str">
            <v/>
          </cell>
          <cell r="G192" t="str">
            <v/>
          </cell>
          <cell r="K192" t="str">
            <v/>
          </cell>
          <cell r="L192" t="str">
            <v/>
          </cell>
          <cell r="N192">
            <v>0</v>
          </cell>
        </row>
        <row r="193">
          <cell r="B193">
            <v>205</v>
          </cell>
          <cell r="E193" t="str">
            <v/>
          </cell>
          <cell r="F193" t="str">
            <v/>
          </cell>
          <cell r="G193" t="str">
            <v/>
          </cell>
          <cell r="K193" t="str">
            <v/>
          </cell>
          <cell r="L193" t="str">
            <v/>
          </cell>
          <cell r="N193">
            <v>0</v>
          </cell>
        </row>
        <row r="194">
          <cell r="B194">
            <v>205</v>
          </cell>
          <cell r="E194" t="str">
            <v/>
          </cell>
          <cell r="F194" t="str">
            <v/>
          </cell>
          <cell r="G194" t="str">
            <v/>
          </cell>
          <cell r="K194" t="str">
            <v/>
          </cell>
          <cell r="L194" t="str">
            <v/>
          </cell>
          <cell r="N194">
            <v>0</v>
          </cell>
        </row>
        <row r="195">
          <cell r="B195">
            <v>205</v>
          </cell>
          <cell r="E195" t="str">
            <v/>
          </cell>
          <cell r="F195" t="str">
            <v/>
          </cell>
          <cell r="G195" t="str">
            <v/>
          </cell>
          <cell r="K195" t="str">
            <v/>
          </cell>
          <cell r="L195" t="str">
            <v/>
          </cell>
          <cell r="N195">
            <v>0</v>
          </cell>
        </row>
        <row r="196">
          <cell r="B196">
            <v>205</v>
          </cell>
          <cell r="E196" t="str">
            <v/>
          </cell>
          <cell r="F196" t="str">
            <v/>
          </cell>
          <cell r="G196" t="str">
            <v/>
          </cell>
          <cell r="K196" t="str">
            <v/>
          </cell>
          <cell r="L196" t="str">
            <v/>
          </cell>
          <cell r="N196">
            <v>0</v>
          </cell>
        </row>
        <row r="197">
          <cell r="B197">
            <v>205</v>
          </cell>
          <cell r="E197" t="str">
            <v/>
          </cell>
          <cell r="F197" t="str">
            <v/>
          </cell>
          <cell r="G197" t="str">
            <v/>
          </cell>
          <cell r="K197" t="str">
            <v/>
          </cell>
          <cell r="L197" t="str">
            <v/>
          </cell>
          <cell r="N197">
            <v>0</v>
          </cell>
        </row>
        <row r="198">
          <cell r="B198">
            <v>205</v>
          </cell>
          <cell r="E198" t="str">
            <v/>
          </cell>
          <cell r="F198" t="str">
            <v/>
          </cell>
          <cell r="G198" t="str">
            <v/>
          </cell>
          <cell r="K198" t="str">
            <v/>
          </cell>
          <cell r="L198" t="str">
            <v/>
          </cell>
          <cell r="N198">
            <v>0</v>
          </cell>
        </row>
        <row r="199">
          <cell r="B199">
            <v>205</v>
          </cell>
          <cell r="E199" t="str">
            <v/>
          </cell>
          <cell r="F199" t="str">
            <v/>
          </cell>
          <cell r="G199" t="str">
            <v/>
          </cell>
          <cell r="K199" t="str">
            <v/>
          </cell>
          <cell r="L199" t="str">
            <v/>
          </cell>
          <cell r="N199">
            <v>0</v>
          </cell>
        </row>
        <row r="200">
          <cell r="B200">
            <v>205</v>
          </cell>
          <cell r="E200" t="str">
            <v/>
          </cell>
          <cell r="F200" t="str">
            <v/>
          </cell>
          <cell r="G200" t="str">
            <v/>
          </cell>
          <cell r="K200" t="str">
            <v/>
          </cell>
          <cell r="L200" t="str">
            <v/>
          </cell>
          <cell r="N200">
            <v>0</v>
          </cell>
        </row>
        <row r="201">
          <cell r="B201">
            <v>205</v>
          </cell>
          <cell r="E201" t="str">
            <v/>
          </cell>
          <cell r="F201" t="str">
            <v/>
          </cell>
          <cell r="G201" t="str">
            <v/>
          </cell>
          <cell r="K201" t="str">
            <v/>
          </cell>
          <cell r="L201" t="str">
            <v/>
          </cell>
          <cell r="N201">
            <v>0</v>
          </cell>
        </row>
        <row r="202">
          <cell r="B202">
            <v>205</v>
          </cell>
          <cell r="E202" t="str">
            <v/>
          </cell>
          <cell r="F202" t="str">
            <v/>
          </cell>
          <cell r="G202" t="str">
            <v/>
          </cell>
          <cell r="K202" t="str">
            <v/>
          </cell>
          <cell r="L202" t="str">
            <v/>
          </cell>
          <cell r="N202">
            <v>0</v>
          </cell>
        </row>
        <row r="203">
          <cell r="B203">
            <v>205</v>
          </cell>
          <cell r="E203" t="str">
            <v/>
          </cell>
          <cell r="F203" t="str">
            <v/>
          </cell>
          <cell r="G203" t="str">
            <v/>
          </cell>
          <cell r="K203" t="str">
            <v/>
          </cell>
          <cell r="L203" t="str">
            <v/>
          </cell>
          <cell r="N203">
            <v>0</v>
          </cell>
        </row>
        <row r="204">
          <cell r="B204">
            <v>205</v>
          </cell>
          <cell r="E204" t="str">
            <v/>
          </cell>
          <cell r="F204" t="str">
            <v/>
          </cell>
          <cell r="G204" t="str">
            <v/>
          </cell>
          <cell r="K204" t="str">
            <v/>
          </cell>
          <cell r="L204" t="str">
            <v/>
          </cell>
          <cell r="N204">
            <v>0</v>
          </cell>
        </row>
        <row r="205">
          <cell r="B205">
            <v>205</v>
          </cell>
          <cell r="E205" t="str">
            <v/>
          </cell>
          <cell r="F205" t="str">
            <v/>
          </cell>
          <cell r="G205" t="str">
            <v/>
          </cell>
          <cell r="K205" t="str">
            <v/>
          </cell>
          <cell r="L205" t="str">
            <v/>
          </cell>
          <cell r="N205">
            <v>0</v>
          </cell>
        </row>
        <row r="206">
          <cell r="B206">
            <v>205</v>
          </cell>
          <cell r="E206" t="str">
            <v/>
          </cell>
          <cell r="F206" t="str">
            <v/>
          </cell>
          <cell r="G206" t="str">
            <v/>
          </cell>
          <cell r="K206" t="str">
            <v/>
          </cell>
          <cell r="L206" t="str">
            <v/>
          </cell>
          <cell r="N206">
            <v>0</v>
          </cell>
        </row>
        <row r="207">
          <cell r="B207">
            <v>205</v>
          </cell>
          <cell r="E207" t="str">
            <v/>
          </cell>
          <cell r="F207" t="str">
            <v/>
          </cell>
          <cell r="G207" t="str">
            <v/>
          </cell>
          <cell r="K207" t="str">
            <v/>
          </cell>
          <cell r="L207" t="str">
            <v/>
          </cell>
          <cell r="N207">
            <v>0</v>
          </cell>
        </row>
        <row r="208">
          <cell r="B208">
            <v>205</v>
          </cell>
          <cell r="E208" t="str">
            <v/>
          </cell>
          <cell r="F208" t="str">
            <v/>
          </cell>
          <cell r="G208" t="str">
            <v/>
          </cell>
          <cell r="K208" t="str">
            <v/>
          </cell>
          <cell r="L208" t="str">
            <v/>
          </cell>
          <cell r="N208">
            <v>0</v>
          </cell>
        </row>
        <row r="209">
          <cell r="B209">
            <v>205</v>
          </cell>
          <cell r="E209" t="str">
            <v/>
          </cell>
          <cell r="F209" t="str">
            <v/>
          </cell>
          <cell r="G209" t="str">
            <v/>
          </cell>
          <cell r="K209" t="str">
            <v/>
          </cell>
          <cell r="L209" t="str">
            <v/>
          </cell>
          <cell r="N209">
            <v>0</v>
          </cell>
        </row>
        <row r="210">
          <cell r="B210">
            <v>205</v>
          </cell>
          <cell r="E210" t="str">
            <v/>
          </cell>
          <cell r="F210" t="str">
            <v/>
          </cell>
          <cell r="G210" t="str">
            <v/>
          </cell>
          <cell r="K210" t="str">
            <v/>
          </cell>
          <cell r="L210" t="str">
            <v/>
          </cell>
          <cell r="N210">
            <v>0</v>
          </cell>
        </row>
        <row r="211">
          <cell r="B211">
            <v>205</v>
          </cell>
          <cell r="E211" t="str">
            <v/>
          </cell>
          <cell r="F211" t="str">
            <v/>
          </cell>
          <cell r="G211" t="str">
            <v/>
          </cell>
          <cell r="K211" t="str">
            <v/>
          </cell>
          <cell r="L211" t="str">
            <v/>
          </cell>
          <cell r="N211">
            <v>0</v>
          </cell>
        </row>
        <row r="212">
          <cell r="B212">
            <v>205</v>
          </cell>
          <cell r="E212" t="str">
            <v/>
          </cell>
          <cell r="F212" t="str">
            <v/>
          </cell>
          <cell r="G212" t="str">
            <v/>
          </cell>
          <cell r="K212" t="str">
            <v/>
          </cell>
          <cell r="L212" t="str">
            <v/>
          </cell>
          <cell r="N212">
            <v>0</v>
          </cell>
        </row>
        <row r="213">
          <cell r="B213">
            <v>205</v>
          </cell>
          <cell r="E213" t="str">
            <v/>
          </cell>
          <cell r="F213" t="str">
            <v/>
          </cell>
          <cell r="G213" t="str">
            <v/>
          </cell>
          <cell r="K213" t="str">
            <v/>
          </cell>
          <cell r="L213" t="str">
            <v/>
          </cell>
          <cell r="N213">
            <v>0</v>
          </cell>
        </row>
        <row r="214">
          <cell r="B214">
            <v>205</v>
          </cell>
          <cell r="E214" t="str">
            <v/>
          </cell>
          <cell r="F214" t="str">
            <v/>
          </cell>
          <cell r="G214" t="str">
            <v/>
          </cell>
          <cell r="K214" t="str">
            <v/>
          </cell>
          <cell r="L214" t="str">
            <v/>
          </cell>
          <cell r="N214">
            <v>0</v>
          </cell>
        </row>
        <row r="215">
          <cell r="B215">
            <v>205</v>
          </cell>
          <cell r="E215" t="str">
            <v/>
          </cell>
          <cell r="F215" t="str">
            <v/>
          </cell>
          <cell r="G215" t="str">
            <v/>
          </cell>
          <cell r="K215" t="str">
            <v/>
          </cell>
          <cell r="L215" t="str">
            <v/>
          </cell>
          <cell r="N215">
            <v>0</v>
          </cell>
        </row>
        <row r="216">
          <cell r="B216">
            <v>205</v>
          </cell>
          <cell r="E216" t="str">
            <v/>
          </cell>
          <cell r="F216" t="str">
            <v/>
          </cell>
          <cell r="G216" t="str">
            <v/>
          </cell>
          <cell r="K216" t="str">
            <v/>
          </cell>
          <cell r="L216" t="str">
            <v/>
          </cell>
          <cell r="N216">
            <v>0</v>
          </cell>
        </row>
        <row r="217">
          <cell r="B217">
            <v>205</v>
          </cell>
          <cell r="E217" t="str">
            <v/>
          </cell>
          <cell r="F217" t="str">
            <v/>
          </cell>
          <cell r="G217" t="str">
            <v/>
          </cell>
          <cell r="K217" t="str">
            <v/>
          </cell>
          <cell r="L217" t="str">
            <v/>
          </cell>
          <cell r="N217">
            <v>0</v>
          </cell>
        </row>
        <row r="218">
          <cell r="B218">
            <v>205</v>
          </cell>
          <cell r="E218" t="str">
            <v/>
          </cell>
          <cell r="F218" t="str">
            <v/>
          </cell>
          <cell r="G218" t="str">
            <v/>
          </cell>
          <cell r="K218" t="str">
            <v/>
          </cell>
          <cell r="L218" t="str">
            <v/>
          </cell>
          <cell r="N218">
            <v>0</v>
          </cell>
        </row>
        <row r="219">
          <cell r="B219">
            <v>205</v>
          </cell>
          <cell r="E219" t="str">
            <v/>
          </cell>
          <cell r="F219" t="str">
            <v/>
          </cell>
          <cell r="G219" t="str">
            <v/>
          </cell>
          <cell r="K219" t="str">
            <v/>
          </cell>
          <cell r="L219" t="str">
            <v/>
          </cell>
          <cell r="N219">
            <v>0</v>
          </cell>
        </row>
        <row r="220">
          <cell r="B220">
            <v>205</v>
          </cell>
          <cell r="E220" t="str">
            <v/>
          </cell>
          <cell r="F220" t="str">
            <v/>
          </cell>
          <cell r="G220" t="str">
            <v/>
          </cell>
          <cell r="K220" t="str">
            <v/>
          </cell>
          <cell r="L220" t="str">
            <v/>
          </cell>
          <cell r="N220">
            <v>0</v>
          </cell>
        </row>
        <row r="221">
          <cell r="B221">
            <v>205</v>
          </cell>
          <cell r="E221" t="str">
            <v/>
          </cell>
          <cell r="F221" t="str">
            <v/>
          </cell>
          <cell r="G221" t="str">
            <v/>
          </cell>
          <cell r="K221" t="str">
            <v/>
          </cell>
          <cell r="L221" t="str">
            <v/>
          </cell>
          <cell r="N221">
            <v>0</v>
          </cell>
        </row>
        <row r="222">
          <cell r="B222">
            <v>205</v>
          </cell>
          <cell r="E222" t="str">
            <v/>
          </cell>
          <cell r="F222" t="str">
            <v/>
          </cell>
          <cell r="G222" t="str">
            <v/>
          </cell>
          <cell r="K222" t="str">
            <v/>
          </cell>
          <cell r="L222" t="str">
            <v/>
          </cell>
          <cell r="N222">
            <v>0</v>
          </cell>
        </row>
        <row r="223">
          <cell r="B223">
            <v>205</v>
          </cell>
          <cell r="E223" t="str">
            <v/>
          </cell>
          <cell r="F223" t="str">
            <v/>
          </cell>
          <cell r="G223" t="str">
            <v/>
          </cell>
          <cell r="K223" t="str">
            <v/>
          </cell>
          <cell r="L223" t="str">
            <v/>
          </cell>
          <cell r="N223">
            <v>0</v>
          </cell>
        </row>
        <row r="224">
          <cell r="B224">
            <v>205</v>
          </cell>
          <cell r="E224" t="str">
            <v/>
          </cell>
          <cell r="F224" t="str">
            <v/>
          </cell>
          <cell r="G224" t="str">
            <v/>
          </cell>
          <cell r="K224" t="str">
            <v/>
          </cell>
          <cell r="L224" t="str">
            <v/>
          </cell>
          <cell r="N224">
            <v>0</v>
          </cell>
        </row>
        <row r="225">
          <cell r="B225">
            <v>205</v>
          </cell>
          <cell r="E225" t="str">
            <v/>
          </cell>
          <cell r="F225" t="str">
            <v/>
          </cell>
          <cell r="G225" t="str">
            <v/>
          </cell>
          <cell r="K225" t="str">
            <v/>
          </cell>
          <cell r="L225" t="str">
            <v/>
          </cell>
          <cell r="N225">
            <v>0</v>
          </cell>
        </row>
        <row r="226">
          <cell r="B226">
            <v>205</v>
          </cell>
          <cell r="E226" t="str">
            <v/>
          </cell>
          <cell r="F226" t="str">
            <v/>
          </cell>
          <cell r="G226" t="str">
            <v/>
          </cell>
          <cell r="K226" t="str">
            <v/>
          </cell>
          <cell r="L226" t="str">
            <v/>
          </cell>
          <cell r="N226">
            <v>0</v>
          </cell>
        </row>
        <row r="227">
          <cell r="B227">
            <v>205</v>
          </cell>
          <cell r="E227" t="str">
            <v/>
          </cell>
          <cell r="F227" t="str">
            <v/>
          </cell>
          <cell r="G227" t="str">
            <v/>
          </cell>
          <cell r="K227" t="str">
            <v/>
          </cell>
          <cell r="L227" t="str">
            <v/>
          </cell>
          <cell r="N227">
            <v>0</v>
          </cell>
        </row>
        <row r="228">
          <cell r="B228">
            <v>205</v>
          </cell>
          <cell r="E228" t="str">
            <v/>
          </cell>
          <cell r="F228" t="str">
            <v/>
          </cell>
          <cell r="G228" t="str">
            <v/>
          </cell>
          <cell r="K228" t="str">
            <v/>
          </cell>
          <cell r="L228" t="str">
            <v/>
          </cell>
          <cell r="N228">
            <v>0</v>
          </cell>
        </row>
        <row r="229">
          <cell r="B229">
            <v>205</v>
          </cell>
          <cell r="E229" t="str">
            <v/>
          </cell>
          <cell r="F229" t="str">
            <v/>
          </cell>
          <cell r="G229" t="str">
            <v/>
          </cell>
          <cell r="K229" t="str">
            <v/>
          </cell>
          <cell r="L229" t="str">
            <v/>
          </cell>
          <cell r="N229">
            <v>0</v>
          </cell>
        </row>
        <row r="230">
          <cell r="B230">
            <v>205</v>
          </cell>
          <cell r="E230" t="str">
            <v/>
          </cell>
          <cell r="F230" t="str">
            <v/>
          </cell>
          <cell r="G230" t="str">
            <v/>
          </cell>
          <cell r="K230" t="str">
            <v/>
          </cell>
          <cell r="L230" t="str">
            <v/>
          </cell>
          <cell r="N230">
            <v>0</v>
          </cell>
        </row>
        <row r="231">
          <cell r="B231">
            <v>205</v>
          </cell>
          <cell r="E231" t="str">
            <v/>
          </cell>
          <cell r="F231" t="str">
            <v/>
          </cell>
          <cell r="G231" t="str">
            <v/>
          </cell>
          <cell r="K231" t="str">
            <v/>
          </cell>
          <cell r="L231" t="str">
            <v/>
          </cell>
          <cell r="N231">
            <v>0</v>
          </cell>
        </row>
        <row r="232">
          <cell r="B232">
            <v>205</v>
          </cell>
          <cell r="E232" t="str">
            <v/>
          </cell>
          <cell r="F232" t="str">
            <v/>
          </cell>
          <cell r="G232" t="str">
            <v/>
          </cell>
          <cell r="K232" t="str">
            <v/>
          </cell>
          <cell r="L232" t="str">
            <v/>
          </cell>
          <cell r="N232">
            <v>0</v>
          </cell>
        </row>
        <row r="233">
          <cell r="B233">
            <v>205</v>
          </cell>
          <cell r="E233" t="str">
            <v/>
          </cell>
          <cell r="F233" t="str">
            <v/>
          </cell>
          <cell r="G233" t="str">
            <v/>
          </cell>
          <cell r="K233" t="str">
            <v/>
          </cell>
          <cell r="L233" t="str">
            <v/>
          </cell>
          <cell r="N233">
            <v>0</v>
          </cell>
        </row>
        <row r="234">
          <cell r="B234">
            <v>205</v>
          </cell>
          <cell r="E234" t="str">
            <v/>
          </cell>
          <cell r="F234" t="str">
            <v/>
          </cell>
          <cell r="G234" t="str">
            <v/>
          </cell>
          <cell r="K234" t="str">
            <v/>
          </cell>
          <cell r="L234" t="str">
            <v/>
          </cell>
          <cell r="N234">
            <v>0</v>
          </cell>
        </row>
        <row r="235">
          <cell r="B235">
            <v>205</v>
          </cell>
          <cell r="E235" t="str">
            <v/>
          </cell>
          <cell r="F235" t="str">
            <v/>
          </cell>
          <cell r="G235" t="str">
            <v/>
          </cell>
          <cell r="K235" t="str">
            <v/>
          </cell>
          <cell r="L235" t="str">
            <v/>
          </cell>
          <cell r="N235">
            <v>0</v>
          </cell>
        </row>
        <row r="236">
          <cell r="B236">
            <v>205</v>
          </cell>
          <cell r="E236" t="str">
            <v/>
          </cell>
          <cell r="F236" t="str">
            <v/>
          </cell>
          <cell r="G236" t="str">
            <v/>
          </cell>
          <cell r="K236" t="str">
            <v/>
          </cell>
          <cell r="L236" t="str">
            <v/>
          </cell>
          <cell r="N236">
            <v>0</v>
          </cell>
        </row>
        <row r="237">
          <cell r="B237">
            <v>205</v>
          </cell>
          <cell r="E237" t="str">
            <v/>
          </cell>
          <cell r="F237" t="str">
            <v/>
          </cell>
          <cell r="G237" t="str">
            <v/>
          </cell>
          <cell r="K237" t="str">
            <v/>
          </cell>
          <cell r="L237" t="str">
            <v/>
          </cell>
          <cell r="N237">
            <v>0</v>
          </cell>
        </row>
        <row r="238">
          <cell r="B238">
            <v>205</v>
          </cell>
          <cell r="E238" t="str">
            <v/>
          </cell>
          <cell r="F238" t="str">
            <v/>
          </cell>
          <cell r="G238" t="str">
            <v/>
          </cell>
          <cell r="K238" t="str">
            <v/>
          </cell>
          <cell r="L238" t="str">
            <v/>
          </cell>
          <cell r="N238">
            <v>0</v>
          </cell>
        </row>
        <row r="239">
          <cell r="B239">
            <v>205</v>
          </cell>
          <cell r="E239" t="str">
            <v/>
          </cell>
          <cell r="F239" t="str">
            <v/>
          </cell>
          <cell r="G239" t="str">
            <v/>
          </cell>
          <cell r="K239" t="str">
            <v/>
          </cell>
          <cell r="L239" t="str">
            <v/>
          </cell>
          <cell r="N239">
            <v>0</v>
          </cell>
        </row>
        <row r="240">
          <cell r="B240">
            <v>205</v>
          </cell>
          <cell r="E240" t="str">
            <v/>
          </cell>
          <cell r="F240" t="str">
            <v/>
          </cell>
          <cell r="G240" t="str">
            <v/>
          </cell>
          <cell r="K240" t="str">
            <v/>
          </cell>
          <cell r="L240" t="str">
            <v/>
          </cell>
          <cell r="N240">
            <v>0</v>
          </cell>
        </row>
        <row r="241">
          <cell r="B241">
            <v>205</v>
          </cell>
          <cell r="E241" t="str">
            <v/>
          </cell>
          <cell r="F241" t="str">
            <v/>
          </cell>
          <cell r="G241" t="str">
            <v/>
          </cell>
          <cell r="K241" t="str">
            <v/>
          </cell>
          <cell r="L241" t="str">
            <v/>
          </cell>
          <cell r="N241">
            <v>0</v>
          </cell>
        </row>
        <row r="242">
          <cell r="B242">
            <v>205</v>
          </cell>
          <cell r="E242" t="str">
            <v/>
          </cell>
          <cell r="F242" t="str">
            <v/>
          </cell>
          <cell r="G242" t="str">
            <v/>
          </cell>
          <cell r="K242" t="str">
            <v/>
          </cell>
          <cell r="L242" t="str">
            <v/>
          </cell>
          <cell r="N242">
            <v>0</v>
          </cell>
        </row>
        <row r="243">
          <cell r="B243">
            <v>205</v>
          </cell>
          <cell r="E243" t="str">
            <v/>
          </cell>
          <cell r="F243" t="str">
            <v/>
          </cell>
          <cell r="G243" t="str">
            <v/>
          </cell>
          <cell r="K243" t="str">
            <v/>
          </cell>
          <cell r="L243" t="str">
            <v/>
          </cell>
          <cell r="N243">
            <v>0</v>
          </cell>
        </row>
        <row r="244">
          <cell r="B244">
            <v>205</v>
          </cell>
          <cell r="E244" t="str">
            <v/>
          </cell>
          <cell r="F244" t="str">
            <v/>
          </cell>
          <cell r="G244" t="str">
            <v/>
          </cell>
          <cell r="K244" t="str">
            <v/>
          </cell>
          <cell r="L244" t="str">
            <v/>
          </cell>
          <cell r="N244">
            <v>0</v>
          </cell>
        </row>
        <row r="245">
          <cell r="B245">
            <v>205</v>
          </cell>
          <cell r="E245" t="str">
            <v/>
          </cell>
          <cell r="F245" t="str">
            <v/>
          </cell>
          <cell r="G245" t="str">
            <v/>
          </cell>
          <cell r="K245" t="str">
            <v/>
          </cell>
          <cell r="L245" t="str">
            <v/>
          </cell>
          <cell r="N245">
            <v>0</v>
          </cell>
        </row>
        <row r="246">
          <cell r="B246">
            <v>205</v>
          </cell>
          <cell r="E246" t="str">
            <v/>
          </cell>
          <cell r="F246" t="str">
            <v/>
          </cell>
          <cell r="G246" t="str">
            <v/>
          </cell>
          <cell r="K246" t="str">
            <v/>
          </cell>
          <cell r="L246" t="str">
            <v/>
          </cell>
          <cell r="N246">
            <v>0</v>
          </cell>
        </row>
        <row r="247">
          <cell r="B247">
            <v>205</v>
          </cell>
          <cell r="E247" t="str">
            <v/>
          </cell>
          <cell r="F247" t="str">
            <v/>
          </cell>
          <cell r="G247" t="str">
            <v/>
          </cell>
          <cell r="K247" t="str">
            <v/>
          </cell>
          <cell r="L247" t="str">
            <v/>
          </cell>
          <cell r="N247">
            <v>0</v>
          </cell>
        </row>
        <row r="248">
          <cell r="B248">
            <v>205</v>
          </cell>
          <cell r="E248" t="str">
            <v/>
          </cell>
          <cell r="F248" t="str">
            <v/>
          </cell>
          <cell r="G248" t="str">
            <v/>
          </cell>
          <cell r="K248" t="str">
            <v/>
          </cell>
          <cell r="L248" t="str">
            <v/>
          </cell>
          <cell r="N248">
            <v>0</v>
          </cell>
        </row>
        <row r="249">
          <cell r="B249">
            <v>205</v>
          </cell>
          <cell r="E249" t="str">
            <v/>
          </cell>
          <cell r="F249" t="str">
            <v/>
          </cell>
          <cell r="G249" t="str">
            <v/>
          </cell>
          <cell r="K249" t="str">
            <v/>
          </cell>
          <cell r="L249" t="str">
            <v/>
          </cell>
          <cell r="N249">
            <v>0</v>
          </cell>
        </row>
        <row r="250">
          <cell r="B250">
            <v>205</v>
          </cell>
          <cell r="E250" t="str">
            <v/>
          </cell>
          <cell r="F250" t="str">
            <v/>
          </cell>
          <cell r="G250" t="str">
            <v/>
          </cell>
          <cell r="K250" t="str">
            <v/>
          </cell>
          <cell r="L250" t="str">
            <v/>
          </cell>
          <cell r="N250">
            <v>0</v>
          </cell>
        </row>
        <row r="251">
          <cell r="B251">
            <v>205</v>
          </cell>
          <cell r="E251" t="str">
            <v/>
          </cell>
          <cell r="F251" t="str">
            <v/>
          </cell>
          <cell r="G251" t="str">
            <v/>
          </cell>
          <cell r="K251" t="str">
            <v/>
          </cell>
          <cell r="L251" t="str">
            <v/>
          </cell>
          <cell r="N251">
            <v>0</v>
          </cell>
        </row>
        <row r="252">
          <cell r="B252">
            <v>205</v>
          </cell>
          <cell r="E252" t="str">
            <v/>
          </cell>
          <cell r="F252" t="str">
            <v/>
          </cell>
          <cell r="G252" t="str">
            <v/>
          </cell>
          <cell r="K252" t="str">
            <v/>
          </cell>
          <cell r="L252" t="str">
            <v/>
          </cell>
          <cell r="N252">
            <v>0</v>
          </cell>
        </row>
        <row r="253">
          <cell r="B253">
            <v>205</v>
          </cell>
          <cell r="E253" t="str">
            <v/>
          </cell>
          <cell r="F253" t="str">
            <v/>
          </cell>
          <cell r="G253" t="str">
            <v/>
          </cell>
          <cell r="K253" t="str">
            <v/>
          </cell>
          <cell r="L253" t="str">
            <v/>
          </cell>
          <cell r="N253">
            <v>0</v>
          </cell>
        </row>
        <row r="254">
          <cell r="B254">
            <v>205</v>
          </cell>
          <cell r="E254" t="str">
            <v/>
          </cell>
          <cell r="F254" t="str">
            <v/>
          </cell>
          <cell r="G254" t="str">
            <v/>
          </cell>
          <cell r="K254" t="str">
            <v/>
          </cell>
          <cell r="L254" t="str">
            <v/>
          </cell>
          <cell r="N254">
            <v>0</v>
          </cell>
        </row>
        <row r="255">
          <cell r="B255">
            <v>205</v>
          </cell>
          <cell r="E255" t="str">
            <v/>
          </cell>
          <cell r="F255" t="str">
            <v/>
          </cell>
          <cell r="G255" t="str">
            <v/>
          </cell>
          <cell r="K255" t="str">
            <v/>
          </cell>
          <cell r="L255" t="str">
            <v/>
          </cell>
          <cell r="N255">
            <v>0</v>
          </cell>
        </row>
        <row r="256">
          <cell r="B256">
            <v>205</v>
          </cell>
          <cell r="E256" t="str">
            <v/>
          </cell>
          <cell r="F256" t="str">
            <v/>
          </cell>
          <cell r="G256" t="str">
            <v/>
          </cell>
          <cell r="K256" t="str">
            <v/>
          </cell>
          <cell r="L256" t="str">
            <v/>
          </cell>
          <cell r="N256">
            <v>0</v>
          </cell>
        </row>
        <row r="257">
          <cell r="B257">
            <v>205</v>
          </cell>
          <cell r="E257" t="str">
            <v/>
          </cell>
          <cell r="F257" t="str">
            <v/>
          </cell>
          <cell r="G257" t="str">
            <v/>
          </cell>
          <cell r="K257" t="str">
            <v/>
          </cell>
          <cell r="L257" t="str">
            <v/>
          </cell>
          <cell r="N257">
            <v>0</v>
          </cell>
        </row>
        <row r="258">
          <cell r="B258">
            <v>205</v>
          </cell>
          <cell r="E258" t="str">
            <v/>
          </cell>
          <cell r="F258" t="str">
            <v/>
          </cell>
          <cell r="G258" t="str">
            <v/>
          </cell>
          <cell r="K258" t="str">
            <v/>
          </cell>
          <cell r="L258" t="str">
            <v/>
          </cell>
          <cell r="N258">
            <v>0</v>
          </cell>
        </row>
        <row r="259">
          <cell r="B259">
            <v>205</v>
          </cell>
          <cell r="E259" t="str">
            <v/>
          </cell>
          <cell r="F259" t="str">
            <v/>
          </cell>
          <cell r="G259" t="str">
            <v/>
          </cell>
          <cell r="K259" t="str">
            <v/>
          </cell>
          <cell r="L259" t="str">
            <v/>
          </cell>
          <cell r="N259">
            <v>0</v>
          </cell>
        </row>
        <row r="260">
          <cell r="B260">
            <v>205</v>
          </cell>
          <cell r="E260" t="str">
            <v/>
          </cell>
          <cell r="F260" t="str">
            <v/>
          </cell>
          <cell r="G260" t="str">
            <v/>
          </cell>
          <cell r="K260" t="str">
            <v/>
          </cell>
          <cell r="L260" t="str">
            <v/>
          </cell>
          <cell r="N260">
            <v>0</v>
          </cell>
        </row>
        <row r="261">
          <cell r="B261">
            <v>205</v>
          </cell>
          <cell r="E261" t="str">
            <v/>
          </cell>
          <cell r="F261" t="str">
            <v/>
          </cell>
          <cell r="G261" t="str">
            <v/>
          </cell>
          <cell r="K261" t="str">
            <v/>
          </cell>
          <cell r="L261" t="str">
            <v/>
          </cell>
          <cell r="N261">
            <v>0</v>
          </cell>
        </row>
        <row r="262">
          <cell r="B262">
            <v>205</v>
          </cell>
          <cell r="E262" t="str">
            <v/>
          </cell>
          <cell r="F262" t="str">
            <v/>
          </cell>
          <cell r="G262" t="str">
            <v/>
          </cell>
          <cell r="K262" t="str">
            <v/>
          </cell>
          <cell r="L262" t="str">
            <v/>
          </cell>
          <cell r="N262">
            <v>0</v>
          </cell>
        </row>
        <row r="263">
          <cell r="B263">
            <v>205</v>
          </cell>
          <cell r="E263" t="str">
            <v/>
          </cell>
          <cell r="F263" t="str">
            <v/>
          </cell>
          <cell r="G263" t="str">
            <v/>
          </cell>
          <cell r="K263" t="str">
            <v/>
          </cell>
          <cell r="L263" t="str">
            <v/>
          </cell>
          <cell r="N263">
            <v>0</v>
          </cell>
        </row>
        <row r="264">
          <cell r="B264">
            <v>205</v>
          </cell>
          <cell r="E264" t="str">
            <v/>
          </cell>
          <cell r="F264" t="str">
            <v/>
          </cell>
          <cell r="G264" t="str">
            <v/>
          </cell>
          <cell r="K264" t="str">
            <v/>
          </cell>
          <cell r="L264" t="str">
            <v/>
          </cell>
          <cell r="N264">
            <v>0</v>
          </cell>
        </row>
        <row r="265">
          <cell r="B265">
            <v>205</v>
          </cell>
          <cell r="E265" t="str">
            <v/>
          </cell>
          <cell r="F265" t="str">
            <v/>
          </cell>
          <cell r="G265" t="str">
            <v/>
          </cell>
          <cell r="K265" t="str">
            <v/>
          </cell>
          <cell r="L265" t="str">
            <v/>
          </cell>
          <cell r="N265">
            <v>0</v>
          </cell>
        </row>
        <row r="266">
          <cell r="B266">
            <v>205</v>
          </cell>
          <cell r="E266" t="str">
            <v/>
          </cell>
          <cell r="F266" t="str">
            <v/>
          </cell>
          <cell r="G266" t="str">
            <v/>
          </cell>
          <cell r="K266" t="str">
            <v/>
          </cell>
          <cell r="L266" t="str">
            <v/>
          </cell>
          <cell r="N266">
            <v>0</v>
          </cell>
        </row>
        <row r="267">
          <cell r="B267">
            <v>205</v>
          </cell>
          <cell r="E267" t="str">
            <v/>
          </cell>
          <cell r="F267" t="str">
            <v/>
          </cell>
          <cell r="G267" t="str">
            <v/>
          </cell>
          <cell r="K267" t="str">
            <v/>
          </cell>
          <cell r="L267" t="str">
            <v/>
          </cell>
          <cell r="N267">
            <v>0</v>
          </cell>
        </row>
        <row r="268">
          <cell r="B268">
            <v>205</v>
          </cell>
          <cell r="E268" t="str">
            <v/>
          </cell>
          <cell r="F268" t="str">
            <v/>
          </cell>
          <cell r="G268" t="str">
            <v/>
          </cell>
          <cell r="K268" t="str">
            <v/>
          </cell>
          <cell r="L268" t="str">
            <v/>
          </cell>
          <cell r="N268">
            <v>0</v>
          </cell>
        </row>
        <row r="269">
          <cell r="B269">
            <v>205</v>
          </cell>
          <cell r="E269" t="str">
            <v/>
          </cell>
          <cell r="F269" t="str">
            <v/>
          </cell>
          <cell r="G269" t="str">
            <v/>
          </cell>
          <cell r="K269" t="str">
            <v/>
          </cell>
          <cell r="L269" t="str">
            <v/>
          </cell>
          <cell r="N269">
            <v>0</v>
          </cell>
        </row>
        <row r="270">
          <cell r="B270">
            <v>205</v>
          </cell>
          <cell r="E270" t="str">
            <v/>
          </cell>
          <cell r="F270" t="str">
            <v/>
          </cell>
          <cell r="G270" t="str">
            <v/>
          </cell>
          <cell r="K270" t="str">
            <v/>
          </cell>
          <cell r="L270" t="str">
            <v/>
          </cell>
          <cell r="N270">
            <v>0</v>
          </cell>
        </row>
        <row r="271">
          <cell r="B271">
            <v>205</v>
          </cell>
          <cell r="E271" t="str">
            <v/>
          </cell>
          <cell r="F271" t="str">
            <v/>
          </cell>
          <cell r="G271" t="str">
            <v/>
          </cell>
          <cell r="K271" t="str">
            <v/>
          </cell>
          <cell r="L271" t="str">
            <v/>
          </cell>
          <cell r="N271">
            <v>0</v>
          </cell>
        </row>
        <row r="272">
          <cell r="B272">
            <v>205</v>
          </cell>
          <cell r="E272" t="str">
            <v/>
          </cell>
          <cell r="F272" t="str">
            <v/>
          </cell>
          <cell r="G272" t="str">
            <v/>
          </cell>
          <cell r="K272" t="str">
            <v/>
          </cell>
          <cell r="L272" t="str">
            <v/>
          </cell>
          <cell r="N272">
            <v>0</v>
          </cell>
        </row>
        <row r="273">
          <cell r="B273">
            <v>205</v>
          </cell>
          <cell r="E273" t="str">
            <v/>
          </cell>
          <cell r="F273" t="str">
            <v/>
          </cell>
          <cell r="G273" t="str">
            <v/>
          </cell>
          <cell r="K273" t="str">
            <v/>
          </cell>
          <cell r="L273" t="str">
            <v/>
          </cell>
          <cell r="N273">
            <v>0</v>
          </cell>
        </row>
        <row r="274">
          <cell r="B274">
            <v>205</v>
          </cell>
          <cell r="E274" t="str">
            <v/>
          </cell>
          <cell r="F274" t="str">
            <v/>
          </cell>
          <cell r="G274" t="str">
            <v/>
          </cell>
          <cell r="K274" t="str">
            <v/>
          </cell>
          <cell r="L274" t="str">
            <v/>
          </cell>
          <cell r="N274">
            <v>0</v>
          </cell>
        </row>
        <row r="275">
          <cell r="B275">
            <v>205</v>
          </cell>
          <cell r="E275" t="str">
            <v/>
          </cell>
          <cell r="F275" t="str">
            <v/>
          </cell>
          <cell r="G275" t="str">
            <v/>
          </cell>
          <cell r="K275" t="str">
            <v/>
          </cell>
          <cell r="L275" t="str">
            <v/>
          </cell>
          <cell r="N275">
            <v>0</v>
          </cell>
        </row>
        <row r="276">
          <cell r="B276">
            <v>205</v>
          </cell>
          <cell r="E276" t="str">
            <v/>
          </cell>
          <cell r="F276" t="str">
            <v/>
          </cell>
          <cell r="G276" t="str">
            <v/>
          </cell>
          <cell r="K276" t="str">
            <v/>
          </cell>
          <cell r="L276" t="str">
            <v/>
          </cell>
          <cell r="N276">
            <v>0</v>
          </cell>
        </row>
        <row r="277">
          <cell r="B277">
            <v>205</v>
          </cell>
          <cell r="E277" t="str">
            <v/>
          </cell>
          <cell r="F277" t="str">
            <v/>
          </cell>
          <cell r="G277" t="str">
            <v/>
          </cell>
          <cell r="K277" t="str">
            <v/>
          </cell>
          <cell r="L277" t="str">
            <v/>
          </cell>
          <cell r="N277">
            <v>0</v>
          </cell>
        </row>
        <row r="278">
          <cell r="B278">
            <v>205</v>
          </cell>
          <cell r="E278" t="str">
            <v/>
          </cell>
          <cell r="F278" t="str">
            <v/>
          </cell>
          <cell r="G278" t="str">
            <v/>
          </cell>
          <cell r="K278" t="str">
            <v/>
          </cell>
          <cell r="L278" t="str">
            <v/>
          </cell>
          <cell r="N278">
            <v>0</v>
          </cell>
        </row>
        <row r="279">
          <cell r="B279">
            <v>205</v>
          </cell>
          <cell r="E279" t="str">
            <v/>
          </cell>
          <cell r="F279" t="str">
            <v/>
          </cell>
          <cell r="G279" t="str">
            <v/>
          </cell>
          <cell r="K279" t="str">
            <v/>
          </cell>
          <cell r="L279" t="str">
            <v/>
          </cell>
          <cell r="N279">
            <v>0</v>
          </cell>
        </row>
        <row r="280">
          <cell r="B280">
            <v>205</v>
          </cell>
          <cell r="E280" t="str">
            <v/>
          </cell>
          <cell r="F280" t="str">
            <v/>
          </cell>
          <cell r="G280" t="str">
            <v/>
          </cell>
          <cell r="K280" t="str">
            <v/>
          </cell>
          <cell r="L280" t="str">
            <v/>
          </cell>
          <cell r="N280">
            <v>0</v>
          </cell>
        </row>
        <row r="281">
          <cell r="B281">
            <v>205</v>
          </cell>
          <cell r="E281" t="str">
            <v/>
          </cell>
          <cell r="F281" t="str">
            <v/>
          </cell>
          <cell r="G281" t="str">
            <v/>
          </cell>
          <cell r="K281" t="str">
            <v/>
          </cell>
          <cell r="L281" t="str">
            <v/>
          </cell>
          <cell r="N281">
            <v>0</v>
          </cell>
        </row>
        <row r="282">
          <cell r="B282">
            <v>205</v>
          </cell>
          <cell r="E282" t="str">
            <v/>
          </cell>
          <cell r="F282" t="str">
            <v/>
          </cell>
          <cell r="G282" t="str">
            <v/>
          </cell>
          <cell r="K282" t="str">
            <v/>
          </cell>
          <cell r="L282" t="str">
            <v/>
          </cell>
          <cell r="N282">
            <v>0</v>
          </cell>
        </row>
        <row r="283">
          <cell r="B283">
            <v>205</v>
          </cell>
          <cell r="E283" t="str">
            <v/>
          </cell>
          <cell r="F283" t="str">
            <v/>
          </cell>
          <cell r="G283" t="str">
            <v/>
          </cell>
          <cell r="K283" t="str">
            <v/>
          </cell>
          <cell r="L283" t="str">
            <v/>
          </cell>
          <cell r="N283">
            <v>0</v>
          </cell>
        </row>
        <row r="284">
          <cell r="B284">
            <v>205</v>
          </cell>
          <cell r="E284" t="str">
            <v/>
          </cell>
          <cell r="F284" t="str">
            <v/>
          </cell>
          <cell r="G284" t="str">
            <v/>
          </cell>
          <cell r="K284" t="str">
            <v/>
          </cell>
          <cell r="L284" t="str">
            <v/>
          </cell>
          <cell r="N284">
            <v>0</v>
          </cell>
        </row>
        <row r="285">
          <cell r="B285">
            <v>205</v>
          </cell>
          <cell r="E285" t="str">
            <v/>
          </cell>
          <cell r="F285" t="str">
            <v/>
          </cell>
          <cell r="G285" t="str">
            <v/>
          </cell>
          <cell r="K285" t="str">
            <v/>
          </cell>
          <cell r="L285" t="str">
            <v/>
          </cell>
          <cell r="N285">
            <v>0</v>
          </cell>
        </row>
        <row r="286">
          <cell r="B286">
            <v>205</v>
          </cell>
          <cell r="E286" t="str">
            <v/>
          </cell>
          <cell r="F286" t="str">
            <v/>
          </cell>
          <cell r="G286" t="str">
            <v/>
          </cell>
          <cell r="K286" t="str">
            <v/>
          </cell>
          <cell r="L286" t="str">
            <v/>
          </cell>
          <cell r="N286">
            <v>0</v>
          </cell>
        </row>
        <row r="287">
          <cell r="B287">
            <v>205</v>
          </cell>
          <cell r="E287" t="str">
            <v/>
          </cell>
          <cell r="F287" t="str">
            <v/>
          </cell>
          <cell r="G287" t="str">
            <v/>
          </cell>
          <cell r="K287" t="str">
            <v/>
          </cell>
          <cell r="L287" t="str">
            <v/>
          </cell>
          <cell r="N287">
            <v>0</v>
          </cell>
        </row>
        <row r="288">
          <cell r="B288">
            <v>205</v>
          </cell>
          <cell r="E288" t="str">
            <v/>
          </cell>
          <cell r="F288" t="str">
            <v/>
          </cell>
          <cell r="G288" t="str">
            <v/>
          </cell>
          <cell r="K288" t="str">
            <v/>
          </cell>
          <cell r="L288" t="str">
            <v/>
          </cell>
          <cell r="N288">
            <v>0</v>
          </cell>
        </row>
        <row r="289">
          <cell r="B289">
            <v>205</v>
          </cell>
          <cell r="E289" t="str">
            <v/>
          </cell>
          <cell r="F289" t="str">
            <v/>
          </cell>
          <cell r="G289" t="str">
            <v/>
          </cell>
          <cell r="K289" t="str">
            <v/>
          </cell>
          <cell r="L289" t="str">
            <v/>
          </cell>
          <cell r="N289">
            <v>0</v>
          </cell>
        </row>
        <row r="290">
          <cell r="B290">
            <v>205</v>
          </cell>
          <cell r="E290" t="str">
            <v/>
          </cell>
          <cell r="F290" t="str">
            <v/>
          </cell>
          <cell r="G290" t="str">
            <v/>
          </cell>
          <cell r="K290" t="str">
            <v/>
          </cell>
          <cell r="L290" t="str">
            <v/>
          </cell>
          <cell r="N290">
            <v>0</v>
          </cell>
        </row>
        <row r="291">
          <cell r="B291">
            <v>205</v>
          </cell>
          <cell r="E291" t="str">
            <v/>
          </cell>
          <cell r="F291" t="str">
            <v/>
          </cell>
          <cell r="G291" t="str">
            <v/>
          </cell>
          <cell r="K291" t="str">
            <v/>
          </cell>
          <cell r="L291" t="str">
            <v/>
          </cell>
          <cell r="N291">
            <v>0</v>
          </cell>
        </row>
        <row r="292">
          <cell r="B292">
            <v>205</v>
          </cell>
          <cell r="E292" t="str">
            <v/>
          </cell>
          <cell r="F292" t="str">
            <v/>
          </cell>
          <cell r="G292" t="str">
            <v/>
          </cell>
          <cell r="K292" t="str">
            <v/>
          </cell>
          <cell r="L292" t="str">
            <v/>
          </cell>
          <cell r="N292">
            <v>0</v>
          </cell>
        </row>
        <row r="293">
          <cell r="B293">
            <v>205</v>
          </cell>
          <cell r="E293" t="str">
            <v/>
          </cell>
          <cell r="F293" t="str">
            <v/>
          </cell>
          <cell r="G293" t="str">
            <v/>
          </cell>
          <cell r="K293" t="str">
            <v/>
          </cell>
          <cell r="L293" t="str">
            <v/>
          </cell>
          <cell r="N293">
            <v>0</v>
          </cell>
        </row>
        <row r="294">
          <cell r="B294">
            <v>205</v>
          </cell>
          <cell r="E294" t="str">
            <v/>
          </cell>
          <cell r="F294" t="str">
            <v/>
          </cell>
          <cell r="G294" t="str">
            <v/>
          </cell>
          <cell r="K294" t="str">
            <v/>
          </cell>
          <cell r="L294" t="str">
            <v/>
          </cell>
          <cell r="N294">
            <v>0</v>
          </cell>
        </row>
        <row r="295">
          <cell r="B295">
            <v>205</v>
          </cell>
          <cell r="E295" t="str">
            <v/>
          </cell>
          <cell r="F295" t="str">
            <v/>
          </cell>
          <cell r="G295" t="str">
            <v/>
          </cell>
          <cell r="K295" t="str">
            <v/>
          </cell>
          <cell r="L295" t="str">
            <v/>
          </cell>
          <cell r="N295">
            <v>0</v>
          </cell>
        </row>
        <row r="296">
          <cell r="B296">
            <v>205</v>
          </cell>
          <cell r="E296" t="str">
            <v/>
          </cell>
          <cell r="F296" t="str">
            <v/>
          </cell>
          <cell r="G296" t="str">
            <v/>
          </cell>
          <cell r="K296" t="str">
            <v/>
          </cell>
          <cell r="L296" t="str">
            <v/>
          </cell>
          <cell r="N296">
            <v>0</v>
          </cell>
        </row>
        <row r="297">
          <cell r="B297">
            <v>205</v>
          </cell>
          <cell r="E297" t="str">
            <v/>
          </cell>
          <cell r="F297" t="str">
            <v/>
          </cell>
          <cell r="G297" t="str">
            <v/>
          </cell>
          <cell r="K297" t="str">
            <v/>
          </cell>
          <cell r="L297" t="str">
            <v/>
          </cell>
          <cell r="N297">
            <v>0</v>
          </cell>
        </row>
        <row r="298">
          <cell r="B298">
            <v>205</v>
          </cell>
          <cell r="E298" t="str">
            <v/>
          </cell>
          <cell r="F298" t="str">
            <v/>
          </cell>
          <cell r="G298" t="str">
            <v/>
          </cell>
          <cell r="K298" t="str">
            <v/>
          </cell>
          <cell r="L298" t="str">
            <v/>
          </cell>
          <cell r="N298">
            <v>0</v>
          </cell>
        </row>
        <row r="299">
          <cell r="B299">
            <v>205</v>
          </cell>
          <cell r="E299" t="str">
            <v/>
          </cell>
          <cell r="F299" t="str">
            <v/>
          </cell>
          <cell r="G299" t="str">
            <v/>
          </cell>
          <cell r="K299" t="str">
            <v/>
          </cell>
          <cell r="L299" t="str">
            <v/>
          </cell>
          <cell r="N299">
            <v>0</v>
          </cell>
        </row>
        <row r="300">
          <cell r="B300">
            <v>205</v>
          </cell>
          <cell r="E300" t="str">
            <v/>
          </cell>
          <cell r="F300" t="str">
            <v/>
          </cell>
          <cell r="G300" t="str">
            <v/>
          </cell>
          <cell r="K300" t="str">
            <v/>
          </cell>
          <cell r="L300" t="str">
            <v/>
          </cell>
          <cell r="N300">
            <v>0</v>
          </cell>
        </row>
        <row r="301">
          <cell r="B301">
            <v>205</v>
          </cell>
          <cell r="E301" t="str">
            <v/>
          </cell>
          <cell r="F301" t="str">
            <v/>
          </cell>
          <cell r="G301" t="str">
            <v/>
          </cell>
          <cell r="K301" t="str">
            <v/>
          </cell>
          <cell r="L301" t="str">
            <v/>
          </cell>
          <cell r="N301">
            <v>0</v>
          </cell>
        </row>
        <row r="302">
          <cell r="B302">
            <v>205</v>
          </cell>
          <cell r="E302" t="str">
            <v/>
          </cell>
          <cell r="F302" t="str">
            <v/>
          </cell>
          <cell r="G302" t="str">
            <v/>
          </cell>
          <cell r="K302" t="str">
            <v/>
          </cell>
          <cell r="L302" t="str">
            <v/>
          </cell>
          <cell r="N302">
            <v>0</v>
          </cell>
        </row>
        <row r="303">
          <cell r="B303">
            <v>205</v>
          </cell>
          <cell r="E303" t="str">
            <v/>
          </cell>
          <cell r="F303" t="str">
            <v/>
          </cell>
          <cell r="G303" t="str">
            <v/>
          </cell>
          <cell r="K303" t="str">
            <v/>
          </cell>
          <cell r="L303" t="str">
            <v/>
          </cell>
          <cell r="N303">
            <v>0</v>
          </cell>
        </row>
        <row r="304">
          <cell r="B304">
            <v>205</v>
          </cell>
          <cell r="E304" t="str">
            <v/>
          </cell>
          <cell r="F304" t="str">
            <v/>
          </cell>
          <cell r="G304" t="str">
            <v/>
          </cell>
          <cell r="K304" t="str">
            <v/>
          </cell>
          <cell r="L304" t="str">
            <v/>
          </cell>
          <cell r="N304">
            <v>0</v>
          </cell>
        </row>
        <row r="305">
          <cell r="B305">
            <v>205</v>
          </cell>
          <cell r="E305" t="str">
            <v/>
          </cell>
          <cell r="F305" t="str">
            <v/>
          </cell>
          <cell r="G305" t="str">
            <v/>
          </cell>
          <cell r="K305" t="str">
            <v/>
          </cell>
          <cell r="L305" t="str">
            <v/>
          </cell>
          <cell r="N305">
            <v>0</v>
          </cell>
        </row>
        <row r="306">
          <cell r="B306">
            <v>205</v>
          </cell>
          <cell r="E306" t="str">
            <v/>
          </cell>
          <cell r="F306" t="str">
            <v/>
          </cell>
          <cell r="G306" t="str">
            <v/>
          </cell>
          <cell r="K306" t="str">
            <v/>
          </cell>
          <cell r="L306" t="str">
            <v/>
          </cell>
          <cell r="N306">
            <v>0</v>
          </cell>
        </row>
        <row r="307">
          <cell r="B307">
            <v>205</v>
          </cell>
          <cell r="E307" t="str">
            <v/>
          </cell>
          <cell r="F307" t="str">
            <v/>
          </cell>
          <cell r="G307" t="str">
            <v/>
          </cell>
          <cell r="K307" t="str">
            <v/>
          </cell>
          <cell r="L307" t="str">
            <v/>
          </cell>
          <cell r="N307">
            <v>0</v>
          </cell>
        </row>
        <row r="308">
          <cell r="B308">
            <v>205</v>
          </cell>
          <cell r="E308" t="str">
            <v/>
          </cell>
          <cell r="F308" t="str">
            <v/>
          </cell>
          <cell r="G308" t="str">
            <v/>
          </cell>
          <cell r="K308" t="str">
            <v/>
          </cell>
          <cell r="L308" t="str">
            <v/>
          </cell>
          <cell r="N308">
            <v>0</v>
          </cell>
        </row>
        <row r="309">
          <cell r="B309">
            <v>205</v>
          </cell>
          <cell r="E309" t="str">
            <v/>
          </cell>
          <cell r="F309" t="str">
            <v/>
          </cell>
          <cell r="G309" t="str">
            <v/>
          </cell>
          <cell r="K309" t="str">
            <v/>
          </cell>
          <cell r="L309" t="str">
            <v/>
          </cell>
          <cell r="N309">
            <v>0</v>
          </cell>
        </row>
        <row r="310">
          <cell r="B310">
            <v>205</v>
          </cell>
          <cell r="E310" t="str">
            <v/>
          </cell>
          <cell r="F310" t="str">
            <v/>
          </cell>
          <cell r="G310" t="str">
            <v/>
          </cell>
          <cell r="K310" t="str">
            <v/>
          </cell>
          <cell r="L310" t="str">
            <v/>
          </cell>
          <cell r="N310">
            <v>0</v>
          </cell>
        </row>
        <row r="311">
          <cell r="B311">
            <v>205</v>
          </cell>
          <cell r="E311" t="str">
            <v/>
          </cell>
          <cell r="F311" t="str">
            <v/>
          </cell>
          <cell r="G311" t="str">
            <v/>
          </cell>
          <cell r="K311" t="str">
            <v/>
          </cell>
          <cell r="L311" t="str">
            <v/>
          </cell>
          <cell r="N311">
            <v>0</v>
          </cell>
        </row>
        <row r="312">
          <cell r="B312">
            <v>205</v>
          </cell>
          <cell r="E312" t="str">
            <v/>
          </cell>
          <cell r="F312" t="str">
            <v/>
          </cell>
          <cell r="G312" t="str">
            <v/>
          </cell>
          <cell r="K312" t="str">
            <v/>
          </cell>
          <cell r="L312" t="str">
            <v/>
          </cell>
          <cell r="N312">
            <v>0</v>
          </cell>
        </row>
        <row r="313">
          <cell r="B313">
            <v>205</v>
          </cell>
          <cell r="E313" t="str">
            <v/>
          </cell>
          <cell r="F313" t="str">
            <v/>
          </cell>
          <cell r="G313" t="str">
            <v/>
          </cell>
          <cell r="K313" t="str">
            <v/>
          </cell>
          <cell r="L313" t="str">
            <v/>
          </cell>
          <cell r="N313">
            <v>0</v>
          </cell>
        </row>
        <row r="314">
          <cell r="B314">
            <v>205</v>
          </cell>
          <cell r="E314" t="str">
            <v/>
          </cell>
          <cell r="F314" t="str">
            <v/>
          </cell>
          <cell r="G314" t="str">
            <v/>
          </cell>
          <cell r="K314" t="str">
            <v/>
          </cell>
          <cell r="L314" t="str">
            <v/>
          </cell>
          <cell r="N314">
            <v>0</v>
          </cell>
        </row>
        <row r="315">
          <cell r="B315">
            <v>205</v>
          </cell>
          <cell r="E315" t="str">
            <v/>
          </cell>
          <cell r="F315" t="str">
            <v/>
          </cell>
          <cell r="G315" t="str">
            <v/>
          </cell>
          <cell r="K315" t="str">
            <v/>
          </cell>
          <cell r="L315" t="str">
            <v/>
          </cell>
          <cell r="N315">
            <v>0</v>
          </cell>
        </row>
        <row r="316">
          <cell r="B316">
            <v>205</v>
          </cell>
          <cell r="E316" t="str">
            <v/>
          </cell>
          <cell r="F316" t="str">
            <v/>
          </cell>
          <cell r="G316" t="str">
            <v/>
          </cell>
          <cell r="K316" t="str">
            <v/>
          </cell>
          <cell r="L316" t="str">
            <v/>
          </cell>
          <cell r="N316">
            <v>0</v>
          </cell>
        </row>
        <row r="317">
          <cell r="B317">
            <v>205</v>
          </cell>
          <cell r="E317" t="str">
            <v/>
          </cell>
          <cell r="F317" t="str">
            <v/>
          </cell>
          <cell r="G317" t="str">
            <v/>
          </cell>
          <cell r="K317" t="str">
            <v/>
          </cell>
          <cell r="L317" t="str">
            <v/>
          </cell>
          <cell r="N317">
            <v>0</v>
          </cell>
        </row>
        <row r="318">
          <cell r="B318">
            <v>205</v>
          </cell>
          <cell r="E318" t="str">
            <v/>
          </cell>
          <cell r="F318" t="str">
            <v/>
          </cell>
          <cell r="G318" t="str">
            <v/>
          </cell>
          <cell r="K318" t="str">
            <v/>
          </cell>
          <cell r="L318" t="str">
            <v/>
          </cell>
          <cell r="N318">
            <v>0</v>
          </cell>
        </row>
        <row r="319">
          <cell r="B319">
            <v>205</v>
          </cell>
          <cell r="E319" t="str">
            <v/>
          </cell>
          <cell r="F319" t="str">
            <v/>
          </cell>
          <cell r="G319" t="str">
            <v/>
          </cell>
          <cell r="K319" t="str">
            <v/>
          </cell>
          <cell r="L319" t="str">
            <v/>
          </cell>
          <cell r="N319">
            <v>0</v>
          </cell>
        </row>
        <row r="320">
          <cell r="B320">
            <v>205</v>
          </cell>
          <cell r="E320" t="str">
            <v/>
          </cell>
          <cell r="F320" t="str">
            <v/>
          </cell>
          <cell r="G320" t="str">
            <v/>
          </cell>
          <cell r="K320" t="str">
            <v/>
          </cell>
          <cell r="L320" t="str">
            <v/>
          </cell>
          <cell r="N320">
            <v>0</v>
          </cell>
        </row>
        <row r="321">
          <cell r="B321">
            <v>205</v>
          </cell>
          <cell r="E321" t="str">
            <v/>
          </cell>
          <cell r="F321" t="str">
            <v/>
          </cell>
          <cell r="G321" t="str">
            <v/>
          </cell>
          <cell r="K321" t="str">
            <v/>
          </cell>
          <cell r="L321" t="str">
            <v/>
          </cell>
          <cell r="N321">
            <v>0</v>
          </cell>
        </row>
        <row r="322">
          <cell r="B322">
            <v>205</v>
          </cell>
          <cell r="E322" t="str">
            <v/>
          </cell>
          <cell r="F322" t="str">
            <v/>
          </cell>
          <cell r="G322" t="str">
            <v/>
          </cell>
          <cell r="K322" t="str">
            <v/>
          </cell>
          <cell r="L322" t="str">
            <v/>
          </cell>
          <cell r="N322">
            <v>0</v>
          </cell>
        </row>
        <row r="323">
          <cell r="B323">
            <v>205</v>
          </cell>
          <cell r="E323" t="str">
            <v/>
          </cell>
          <cell r="F323" t="str">
            <v/>
          </cell>
          <cell r="G323" t="str">
            <v/>
          </cell>
          <cell r="K323" t="str">
            <v/>
          </cell>
          <cell r="L323" t="str">
            <v/>
          </cell>
          <cell r="N323">
            <v>0</v>
          </cell>
        </row>
        <row r="324">
          <cell r="B324">
            <v>205</v>
          </cell>
          <cell r="E324" t="str">
            <v/>
          </cell>
          <cell r="F324" t="str">
            <v/>
          </cell>
          <cell r="G324" t="str">
            <v/>
          </cell>
          <cell r="K324" t="str">
            <v/>
          </cell>
          <cell r="L324" t="str">
            <v/>
          </cell>
          <cell r="N324">
            <v>0</v>
          </cell>
        </row>
        <row r="325">
          <cell r="B325">
            <v>205</v>
          </cell>
          <cell r="E325" t="str">
            <v/>
          </cell>
          <cell r="F325" t="str">
            <v/>
          </cell>
          <cell r="G325" t="str">
            <v/>
          </cell>
          <cell r="K325" t="str">
            <v/>
          </cell>
          <cell r="L325" t="str">
            <v/>
          </cell>
          <cell r="N325">
            <v>0</v>
          </cell>
        </row>
        <row r="326">
          <cell r="B326">
            <v>205</v>
          </cell>
          <cell r="E326" t="str">
            <v/>
          </cell>
          <cell r="F326" t="str">
            <v/>
          </cell>
          <cell r="G326" t="str">
            <v/>
          </cell>
          <cell r="K326" t="str">
            <v/>
          </cell>
          <cell r="L326" t="str">
            <v/>
          </cell>
          <cell r="N326">
            <v>0</v>
          </cell>
        </row>
        <row r="327">
          <cell r="B327">
            <v>205</v>
          </cell>
          <cell r="E327" t="str">
            <v/>
          </cell>
          <cell r="F327" t="str">
            <v/>
          </cell>
          <cell r="G327" t="str">
            <v/>
          </cell>
          <cell r="K327" t="str">
            <v/>
          </cell>
          <cell r="L327" t="str">
            <v/>
          </cell>
          <cell r="N327">
            <v>0</v>
          </cell>
        </row>
        <row r="328">
          <cell r="B328">
            <v>205</v>
          </cell>
          <cell r="E328" t="str">
            <v/>
          </cell>
          <cell r="F328" t="str">
            <v/>
          </cell>
          <cell r="G328" t="str">
            <v/>
          </cell>
          <cell r="K328" t="str">
            <v/>
          </cell>
          <cell r="L328" t="str">
            <v/>
          </cell>
          <cell r="N328">
            <v>0</v>
          </cell>
        </row>
        <row r="329">
          <cell r="B329">
            <v>205</v>
          </cell>
          <cell r="E329" t="str">
            <v/>
          </cell>
          <cell r="F329" t="str">
            <v/>
          </cell>
          <cell r="G329" t="str">
            <v/>
          </cell>
          <cell r="K329" t="str">
            <v/>
          </cell>
          <cell r="L329" t="str">
            <v/>
          </cell>
          <cell r="N329">
            <v>0</v>
          </cell>
        </row>
        <row r="330">
          <cell r="B330">
            <v>205</v>
          </cell>
          <cell r="E330" t="str">
            <v/>
          </cell>
          <cell r="F330" t="str">
            <v/>
          </cell>
          <cell r="G330" t="str">
            <v/>
          </cell>
          <cell r="K330" t="str">
            <v/>
          </cell>
          <cell r="L330" t="str">
            <v/>
          </cell>
          <cell r="N330">
            <v>0</v>
          </cell>
        </row>
        <row r="331">
          <cell r="B331">
            <v>205</v>
          </cell>
          <cell r="E331" t="str">
            <v/>
          </cell>
          <cell r="F331" t="str">
            <v/>
          </cell>
          <cell r="G331" t="str">
            <v/>
          </cell>
          <cell r="K331" t="str">
            <v/>
          </cell>
          <cell r="L331" t="str">
            <v/>
          </cell>
          <cell r="N331">
            <v>0</v>
          </cell>
        </row>
        <row r="332">
          <cell r="B332">
            <v>205</v>
          </cell>
          <cell r="E332" t="str">
            <v/>
          </cell>
          <cell r="F332" t="str">
            <v/>
          </cell>
          <cell r="G332" t="str">
            <v/>
          </cell>
          <cell r="K332" t="str">
            <v/>
          </cell>
          <cell r="L332" t="str">
            <v/>
          </cell>
          <cell r="N332">
            <v>0</v>
          </cell>
        </row>
        <row r="333">
          <cell r="B333">
            <v>205</v>
          </cell>
          <cell r="E333" t="str">
            <v/>
          </cell>
          <cell r="F333" t="str">
            <v/>
          </cell>
          <cell r="G333" t="str">
            <v/>
          </cell>
          <cell r="K333" t="str">
            <v/>
          </cell>
          <cell r="L333" t="str">
            <v/>
          </cell>
          <cell r="N333">
            <v>0</v>
          </cell>
        </row>
        <row r="334">
          <cell r="B334">
            <v>205</v>
          </cell>
          <cell r="E334" t="str">
            <v/>
          </cell>
          <cell r="F334" t="str">
            <v/>
          </cell>
          <cell r="G334" t="str">
            <v/>
          </cell>
          <cell r="K334" t="str">
            <v/>
          </cell>
          <cell r="L334" t="str">
            <v/>
          </cell>
          <cell r="N334">
            <v>0</v>
          </cell>
        </row>
        <row r="335">
          <cell r="B335">
            <v>205</v>
          </cell>
          <cell r="E335" t="str">
            <v/>
          </cell>
          <cell r="F335" t="str">
            <v/>
          </cell>
          <cell r="G335" t="str">
            <v/>
          </cell>
          <cell r="K335" t="str">
            <v/>
          </cell>
          <cell r="L335" t="str">
            <v/>
          </cell>
          <cell r="N335">
            <v>0</v>
          </cell>
        </row>
        <row r="336">
          <cell r="B336">
            <v>205</v>
          </cell>
          <cell r="E336" t="str">
            <v/>
          </cell>
          <cell r="F336" t="str">
            <v/>
          </cell>
          <cell r="G336" t="str">
            <v/>
          </cell>
          <cell r="K336" t="str">
            <v/>
          </cell>
          <cell r="L336" t="str">
            <v/>
          </cell>
          <cell r="N336">
            <v>0</v>
          </cell>
        </row>
        <row r="337">
          <cell r="B337">
            <v>205</v>
          </cell>
          <cell r="E337" t="str">
            <v/>
          </cell>
          <cell r="F337" t="str">
            <v/>
          </cell>
          <cell r="G337" t="str">
            <v/>
          </cell>
          <cell r="K337" t="str">
            <v/>
          </cell>
          <cell r="L337" t="str">
            <v/>
          </cell>
          <cell r="N337">
            <v>0</v>
          </cell>
        </row>
        <row r="338">
          <cell r="B338">
            <v>205</v>
          </cell>
          <cell r="E338" t="str">
            <v/>
          </cell>
          <cell r="F338" t="str">
            <v/>
          </cell>
          <cell r="G338" t="str">
            <v/>
          </cell>
          <cell r="K338" t="str">
            <v/>
          </cell>
          <cell r="L338" t="str">
            <v/>
          </cell>
          <cell r="N338">
            <v>0</v>
          </cell>
        </row>
        <row r="339">
          <cell r="B339">
            <v>205</v>
          </cell>
          <cell r="E339" t="str">
            <v/>
          </cell>
          <cell r="F339" t="str">
            <v/>
          </cell>
          <cell r="G339" t="str">
            <v/>
          </cell>
          <cell r="K339" t="str">
            <v/>
          </cell>
          <cell r="L339" t="str">
            <v/>
          </cell>
          <cell r="N339">
            <v>0</v>
          </cell>
        </row>
        <row r="340">
          <cell r="B340">
            <v>205</v>
          </cell>
          <cell r="E340" t="str">
            <v/>
          </cell>
          <cell r="F340" t="str">
            <v/>
          </cell>
          <cell r="G340" t="str">
            <v/>
          </cell>
          <cell r="K340" t="str">
            <v/>
          </cell>
          <cell r="L340" t="str">
            <v/>
          </cell>
          <cell r="N340">
            <v>0</v>
          </cell>
        </row>
        <row r="341">
          <cell r="B341">
            <v>205</v>
          </cell>
          <cell r="E341" t="str">
            <v/>
          </cell>
          <cell r="F341" t="str">
            <v/>
          </cell>
          <cell r="G341" t="str">
            <v/>
          </cell>
          <cell r="K341" t="str">
            <v/>
          </cell>
          <cell r="L341" t="str">
            <v/>
          </cell>
          <cell r="N341">
            <v>0</v>
          </cell>
        </row>
        <row r="342">
          <cell r="B342">
            <v>205</v>
          </cell>
          <cell r="E342" t="str">
            <v/>
          </cell>
          <cell r="F342" t="str">
            <v/>
          </cell>
          <cell r="G342" t="str">
            <v/>
          </cell>
          <cell r="K342" t="str">
            <v/>
          </cell>
          <cell r="L342" t="str">
            <v/>
          </cell>
          <cell r="N342">
            <v>0</v>
          </cell>
        </row>
        <row r="343">
          <cell r="B343">
            <v>205</v>
          </cell>
          <cell r="E343" t="str">
            <v/>
          </cell>
          <cell r="F343" t="str">
            <v/>
          </cell>
          <cell r="G343" t="str">
            <v/>
          </cell>
          <cell r="K343" t="str">
            <v/>
          </cell>
          <cell r="L343" t="str">
            <v/>
          </cell>
          <cell r="N343">
            <v>0</v>
          </cell>
        </row>
        <row r="344">
          <cell r="B344">
            <v>205</v>
          </cell>
          <cell r="E344" t="str">
            <v/>
          </cell>
          <cell r="F344" t="str">
            <v/>
          </cell>
          <cell r="G344" t="str">
            <v/>
          </cell>
          <cell r="K344" t="str">
            <v/>
          </cell>
          <cell r="L344" t="str">
            <v/>
          </cell>
          <cell r="N344">
            <v>0</v>
          </cell>
        </row>
        <row r="345">
          <cell r="B345">
            <v>205</v>
          </cell>
          <cell r="E345" t="str">
            <v/>
          </cell>
          <cell r="F345" t="str">
            <v/>
          </cell>
          <cell r="G345" t="str">
            <v/>
          </cell>
          <cell r="K345" t="str">
            <v/>
          </cell>
          <cell r="L345" t="str">
            <v/>
          </cell>
          <cell r="N345">
            <v>0</v>
          </cell>
        </row>
        <row r="346">
          <cell r="B346">
            <v>205</v>
          </cell>
          <cell r="E346" t="str">
            <v/>
          </cell>
          <cell r="F346" t="str">
            <v/>
          </cell>
          <cell r="G346" t="str">
            <v/>
          </cell>
          <cell r="K346" t="str">
            <v/>
          </cell>
          <cell r="L346" t="str">
            <v/>
          </cell>
          <cell r="N346">
            <v>0</v>
          </cell>
        </row>
        <row r="347">
          <cell r="B347">
            <v>205</v>
          </cell>
          <cell r="E347" t="str">
            <v/>
          </cell>
          <cell r="F347" t="str">
            <v/>
          </cell>
          <cell r="G347" t="str">
            <v/>
          </cell>
          <cell r="K347" t="str">
            <v/>
          </cell>
          <cell r="L347" t="str">
            <v/>
          </cell>
          <cell r="N347">
            <v>0</v>
          </cell>
        </row>
        <row r="348">
          <cell r="B348">
            <v>205</v>
          </cell>
          <cell r="E348" t="str">
            <v/>
          </cell>
          <cell r="F348" t="str">
            <v/>
          </cell>
          <cell r="G348" t="str">
            <v/>
          </cell>
          <cell r="K348" t="str">
            <v/>
          </cell>
          <cell r="L348" t="str">
            <v/>
          </cell>
          <cell r="N348">
            <v>0</v>
          </cell>
        </row>
        <row r="349">
          <cell r="B349">
            <v>205</v>
          </cell>
          <cell r="E349" t="str">
            <v/>
          </cell>
          <cell r="F349" t="str">
            <v/>
          </cell>
          <cell r="G349" t="str">
            <v/>
          </cell>
          <cell r="K349" t="str">
            <v/>
          </cell>
          <cell r="L349" t="str">
            <v/>
          </cell>
          <cell r="N349">
            <v>0</v>
          </cell>
        </row>
        <row r="350">
          <cell r="B350">
            <v>205</v>
          </cell>
          <cell r="E350" t="str">
            <v/>
          </cell>
          <cell r="F350" t="str">
            <v/>
          </cell>
          <cell r="G350" t="str">
            <v/>
          </cell>
          <cell r="K350" t="str">
            <v/>
          </cell>
          <cell r="L350" t="str">
            <v/>
          </cell>
          <cell r="N350">
            <v>0</v>
          </cell>
        </row>
        <row r="351">
          <cell r="B351">
            <v>205</v>
          </cell>
          <cell r="E351" t="str">
            <v/>
          </cell>
          <cell r="F351" t="str">
            <v/>
          </cell>
          <cell r="G351" t="str">
            <v/>
          </cell>
          <cell r="K351" t="str">
            <v/>
          </cell>
          <cell r="L351" t="str">
            <v/>
          </cell>
          <cell r="N351">
            <v>0</v>
          </cell>
        </row>
        <row r="352">
          <cell r="B352">
            <v>205</v>
          </cell>
          <cell r="E352" t="str">
            <v/>
          </cell>
          <cell r="F352" t="str">
            <v/>
          </cell>
          <cell r="G352" t="str">
            <v/>
          </cell>
          <cell r="K352" t="str">
            <v/>
          </cell>
          <cell r="L352" t="str">
            <v/>
          </cell>
          <cell r="N352">
            <v>0</v>
          </cell>
        </row>
        <row r="353">
          <cell r="B353">
            <v>205</v>
          </cell>
          <cell r="E353" t="str">
            <v/>
          </cell>
          <cell r="F353" t="str">
            <v/>
          </cell>
          <cell r="G353" t="str">
            <v/>
          </cell>
          <cell r="K353" t="str">
            <v/>
          </cell>
          <cell r="L353" t="str">
            <v/>
          </cell>
          <cell r="N353">
            <v>0</v>
          </cell>
        </row>
        <row r="354">
          <cell r="B354">
            <v>205</v>
          </cell>
          <cell r="E354" t="str">
            <v/>
          </cell>
          <cell r="F354" t="str">
            <v/>
          </cell>
          <cell r="G354" t="str">
            <v/>
          </cell>
          <cell r="K354" t="str">
            <v/>
          </cell>
          <cell r="L354" t="str">
            <v/>
          </cell>
          <cell r="N354">
            <v>0</v>
          </cell>
        </row>
        <row r="355">
          <cell r="B355">
            <v>205</v>
          </cell>
          <cell r="E355" t="str">
            <v/>
          </cell>
          <cell r="F355" t="str">
            <v/>
          </cell>
          <cell r="G355" t="str">
            <v/>
          </cell>
          <cell r="K355" t="str">
            <v/>
          </cell>
          <cell r="L355" t="str">
            <v/>
          </cell>
          <cell r="N355">
            <v>0</v>
          </cell>
        </row>
        <row r="356">
          <cell r="B356">
            <v>205</v>
          </cell>
          <cell r="E356" t="str">
            <v/>
          </cell>
          <cell r="F356" t="str">
            <v/>
          </cell>
          <cell r="G356" t="str">
            <v/>
          </cell>
          <cell r="K356" t="str">
            <v/>
          </cell>
          <cell r="L356" t="str">
            <v/>
          </cell>
          <cell r="N356">
            <v>0</v>
          </cell>
        </row>
        <row r="357">
          <cell r="B357">
            <v>205</v>
          </cell>
          <cell r="E357" t="str">
            <v/>
          </cell>
          <cell r="F357" t="str">
            <v/>
          </cell>
          <cell r="G357" t="str">
            <v/>
          </cell>
          <cell r="K357" t="str">
            <v/>
          </cell>
          <cell r="L357" t="str">
            <v/>
          </cell>
          <cell r="N357">
            <v>0</v>
          </cell>
        </row>
        <row r="358">
          <cell r="B358">
            <v>205</v>
          </cell>
          <cell r="E358" t="str">
            <v/>
          </cell>
          <cell r="F358" t="str">
            <v/>
          </cell>
          <cell r="G358" t="str">
            <v/>
          </cell>
          <cell r="K358" t="str">
            <v/>
          </cell>
          <cell r="L358" t="str">
            <v/>
          </cell>
          <cell r="N358">
            <v>0</v>
          </cell>
        </row>
        <row r="359">
          <cell r="B359">
            <v>205</v>
          </cell>
          <cell r="E359" t="str">
            <v/>
          </cell>
          <cell r="F359" t="str">
            <v/>
          </cell>
          <cell r="G359" t="str">
            <v/>
          </cell>
          <cell r="K359" t="str">
            <v/>
          </cell>
          <cell r="L359" t="str">
            <v/>
          </cell>
          <cell r="N359">
            <v>0</v>
          </cell>
        </row>
        <row r="360">
          <cell r="B360">
            <v>205</v>
          </cell>
          <cell r="E360" t="str">
            <v/>
          </cell>
          <cell r="F360" t="str">
            <v/>
          </cell>
          <cell r="G360" t="str">
            <v/>
          </cell>
          <cell r="K360" t="str">
            <v/>
          </cell>
          <cell r="L360" t="str">
            <v/>
          </cell>
          <cell r="N360">
            <v>0</v>
          </cell>
        </row>
        <row r="361">
          <cell r="B361">
            <v>205</v>
          </cell>
          <cell r="E361" t="str">
            <v/>
          </cell>
          <cell r="F361" t="str">
            <v/>
          </cell>
          <cell r="G361" t="str">
            <v/>
          </cell>
          <cell r="K361" t="str">
            <v/>
          </cell>
          <cell r="L361" t="str">
            <v/>
          </cell>
          <cell r="N361">
            <v>0</v>
          </cell>
        </row>
        <row r="362">
          <cell r="B362">
            <v>205</v>
          </cell>
          <cell r="E362" t="str">
            <v/>
          </cell>
          <cell r="F362" t="str">
            <v/>
          </cell>
          <cell r="G362" t="str">
            <v/>
          </cell>
          <cell r="K362" t="str">
            <v/>
          </cell>
          <cell r="L362" t="str">
            <v/>
          </cell>
          <cell r="N362">
            <v>0</v>
          </cell>
        </row>
        <row r="363">
          <cell r="B363">
            <v>205</v>
          </cell>
          <cell r="E363" t="str">
            <v/>
          </cell>
          <cell r="F363" t="str">
            <v/>
          </cell>
          <cell r="G363" t="str">
            <v/>
          </cell>
          <cell r="K363" t="str">
            <v/>
          </cell>
          <cell r="L363" t="str">
            <v/>
          </cell>
          <cell r="N363">
            <v>0</v>
          </cell>
        </row>
        <row r="364">
          <cell r="B364">
            <v>205</v>
          </cell>
          <cell r="E364" t="str">
            <v/>
          </cell>
          <cell r="F364" t="str">
            <v/>
          </cell>
          <cell r="G364" t="str">
            <v/>
          </cell>
          <cell r="K364" t="str">
            <v/>
          </cell>
          <cell r="L364" t="str">
            <v/>
          </cell>
          <cell r="N364">
            <v>0</v>
          </cell>
        </row>
        <row r="365">
          <cell r="B365">
            <v>205</v>
          </cell>
          <cell r="E365" t="str">
            <v/>
          </cell>
          <cell r="F365" t="str">
            <v/>
          </cell>
          <cell r="G365" t="str">
            <v/>
          </cell>
          <cell r="K365" t="str">
            <v/>
          </cell>
          <cell r="L365" t="str">
            <v/>
          </cell>
          <cell r="N365">
            <v>0</v>
          </cell>
        </row>
        <row r="366">
          <cell r="B366">
            <v>205</v>
          </cell>
          <cell r="E366" t="str">
            <v/>
          </cell>
          <cell r="F366" t="str">
            <v/>
          </cell>
          <cell r="G366" t="str">
            <v/>
          </cell>
          <cell r="K366" t="str">
            <v/>
          </cell>
          <cell r="L366" t="str">
            <v/>
          </cell>
          <cell r="N366">
            <v>0</v>
          </cell>
        </row>
        <row r="367">
          <cell r="B367">
            <v>205</v>
          </cell>
          <cell r="E367" t="str">
            <v/>
          </cell>
          <cell r="F367" t="str">
            <v/>
          </cell>
          <cell r="G367" t="str">
            <v/>
          </cell>
          <cell r="K367" t="str">
            <v/>
          </cell>
          <cell r="L367" t="str">
            <v/>
          </cell>
          <cell r="N367">
            <v>0</v>
          </cell>
        </row>
        <row r="368">
          <cell r="B368">
            <v>205</v>
          </cell>
          <cell r="E368" t="str">
            <v/>
          </cell>
          <cell r="F368" t="str">
            <v/>
          </cell>
          <cell r="G368" t="str">
            <v/>
          </cell>
          <cell r="K368" t="str">
            <v/>
          </cell>
          <cell r="L368" t="str">
            <v/>
          </cell>
          <cell r="N368">
            <v>0</v>
          </cell>
        </row>
        <row r="369">
          <cell r="B369">
            <v>205</v>
          </cell>
          <cell r="E369" t="str">
            <v/>
          </cell>
          <cell r="F369" t="str">
            <v/>
          </cell>
          <cell r="G369" t="str">
            <v/>
          </cell>
          <cell r="K369" t="str">
            <v/>
          </cell>
          <cell r="L369" t="str">
            <v/>
          </cell>
          <cell r="N369">
            <v>0</v>
          </cell>
        </row>
        <row r="370">
          <cell r="B370">
            <v>205</v>
          </cell>
          <cell r="E370" t="str">
            <v/>
          </cell>
          <cell r="F370" t="str">
            <v/>
          </cell>
          <cell r="G370" t="str">
            <v/>
          </cell>
          <cell r="K370" t="str">
            <v/>
          </cell>
          <cell r="L370" t="str">
            <v/>
          </cell>
          <cell r="N370">
            <v>0</v>
          </cell>
        </row>
        <row r="371">
          <cell r="B371">
            <v>205</v>
          </cell>
          <cell r="E371" t="str">
            <v/>
          </cell>
          <cell r="F371" t="str">
            <v/>
          </cell>
          <cell r="G371" t="str">
            <v/>
          </cell>
          <cell r="K371" t="str">
            <v/>
          </cell>
          <cell r="L371" t="str">
            <v/>
          </cell>
          <cell r="N371">
            <v>0</v>
          </cell>
        </row>
        <row r="372">
          <cell r="B372">
            <v>205</v>
          </cell>
          <cell r="E372" t="str">
            <v/>
          </cell>
          <cell r="F372" t="str">
            <v/>
          </cell>
          <cell r="G372" t="str">
            <v/>
          </cell>
          <cell r="K372" t="str">
            <v/>
          </cell>
          <cell r="L372" t="str">
            <v/>
          </cell>
          <cell r="N372">
            <v>0</v>
          </cell>
        </row>
        <row r="373">
          <cell r="B373">
            <v>205</v>
          </cell>
          <cell r="E373" t="str">
            <v/>
          </cell>
          <cell r="F373" t="str">
            <v/>
          </cell>
          <cell r="G373" t="str">
            <v/>
          </cell>
          <cell r="K373" t="str">
            <v/>
          </cell>
          <cell r="L373" t="str">
            <v/>
          </cell>
          <cell r="N373">
            <v>0</v>
          </cell>
        </row>
        <row r="374">
          <cell r="B374">
            <v>205</v>
          </cell>
          <cell r="E374" t="str">
            <v/>
          </cell>
          <cell r="F374" t="str">
            <v/>
          </cell>
          <cell r="G374" t="str">
            <v/>
          </cell>
          <cell r="K374" t="str">
            <v/>
          </cell>
          <cell r="L374" t="str">
            <v/>
          </cell>
          <cell r="N374">
            <v>0</v>
          </cell>
        </row>
        <row r="375">
          <cell r="B375">
            <v>205</v>
          </cell>
          <cell r="E375" t="str">
            <v/>
          </cell>
          <cell r="F375" t="str">
            <v/>
          </cell>
          <cell r="G375" t="str">
            <v/>
          </cell>
          <cell r="K375" t="str">
            <v/>
          </cell>
          <cell r="L375" t="str">
            <v/>
          </cell>
          <cell r="N375">
            <v>0</v>
          </cell>
        </row>
        <row r="376">
          <cell r="B376">
            <v>205</v>
          </cell>
          <cell r="E376" t="str">
            <v/>
          </cell>
          <cell r="F376" t="str">
            <v/>
          </cell>
          <cell r="G376" t="str">
            <v/>
          </cell>
          <cell r="K376" t="str">
            <v/>
          </cell>
          <cell r="L376" t="str">
            <v/>
          </cell>
          <cell r="N376">
            <v>0</v>
          </cell>
        </row>
        <row r="377">
          <cell r="B377">
            <v>205</v>
          </cell>
          <cell r="E377" t="str">
            <v/>
          </cell>
          <cell r="F377" t="str">
            <v/>
          </cell>
          <cell r="G377" t="str">
            <v/>
          </cell>
          <cell r="K377" t="str">
            <v/>
          </cell>
          <cell r="L377" t="str">
            <v/>
          </cell>
          <cell r="N377">
            <v>0</v>
          </cell>
        </row>
        <row r="378">
          <cell r="B378">
            <v>205</v>
          </cell>
          <cell r="E378" t="str">
            <v/>
          </cell>
          <cell r="F378" t="str">
            <v/>
          </cell>
          <cell r="G378" t="str">
            <v/>
          </cell>
          <cell r="K378" t="str">
            <v/>
          </cell>
          <cell r="L378" t="str">
            <v/>
          </cell>
          <cell r="N378">
            <v>0</v>
          </cell>
        </row>
        <row r="379">
          <cell r="B379">
            <v>205</v>
          </cell>
          <cell r="E379" t="str">
            <v/>
          </cell>
          <cell r="F379" t="str">
            <v/>
          </cell>
          <cell r="G379" t="str">
            <v/>
          </cell>
          <cell r="K379" t="str">
            <v/>
          </cell>
          <cell r="L379" t="str">
            <v/>
          </cell>
          <cell r="N379">
            <v>0</v>
          </cell>
        </row>
        <row r="380">
          <cell r="B380">
            <v>205</v>
          </cell>
          <cell r="E380" t="str">
            <v/>
          </cell>
          <cell r="F380" t="str">
            <v/>
          </cell>
          <cell r="G380" t="str">
            <v/>
          </cell>
          <cell r="K380" t="str">
            <v/>
          </cell>
          <cell r="L380" t="str">
            <v/>
          </cell>
          <cell r="N380">
            <v>0</v>
          </cell>
        </row>
        <row r="381">
          <cell r="B381">
            <v>205</v>
          </cell>
          <cell r="E381" t="str">
            <v/>
          </cell>
          <cell r="F381" t="str">
            <v/>
          </cell>
          <cell r="G381" t="str">
            <v/>
          </cell>
          <cell r="K381" t="str">
            <v/>
          </cell>
          <cell r="L381" t="str">
            <v/>
          </cell>
          <cell r="N381">
            <v>0</v>
          </cell>
        </row>
        <row r="382">
          <cell r="B382">
            <v>205</v>
          </cell>
          <cell r="E382" t="str">
            <v/>
          </cell>
          <cell r="F382" t="str">
            <v/>
          </cell>
          <cell r="G382" t="str">
            <v/>
          </cell>
          <cell r="K382" t="str">
            <v/>
          </cell>
          <cell r="L382" t="str">
            <v/>
          </cell>
          <cell r="N382">
            <v>0</v>
          </cell>
        </row>
        <row r="383">
          <cell r="B383">
            <v>205</v>
          </cell>
          <cell r="E383" t="str">
            <v/>
          </cell>
          <cell r="F383" t="str">
            <v/>
          </cell>
          <cell r="G383" t="str">
            <v/>
          </cell>
          <cell r="K383" t="str">
            <v/>
          </cell>
          <cell r="L383" t="str">
            <v/>
          </cell>
          <cell r="N383">
            <v>0</v>
          </cell>
        </row>
        <row r="384">
          <cell r="B384">
            <v>205</v>
          </cell>
          <cell r="E384" t="str">
            <v/>
          </cell>
          <cell r="F384" t="str">
            <v/>
          </cell>
          <cell r="G384" t="str">
            <v/>
          </cell>
          <cell r="K384" t="str">
            <v/>
          </cell>
          <cell r="L384" t="str">
            <v/>
          </cell>
          <cell r="N384">
            <v>0</v>
          </cell>
        </row>
        <row r="385">
          <cell r="B385">
            <v>205</v>
          </cell>
          <cell r="E385" t="str">
            <v/>
          </cell>
          <cell r="F385" t="str">
            <v/>
          </cell>
          <cell r="G385" t="str">
            <v/>
          </cell>
          <cell r="K385" t="str">
            <v/>
          </cell>
          <cell r="L385" t="str">
            <v/>
          </cell>
          <cell r="N385">
            <v>0</v>
          </cell>
        </row>
        <row r="386">
          <cell r="B386">
            <v>205</v>
          </cell>
          <cell r="E386" t="str">
            <v/>
          </cell>
          <cell r="F386" t="str">
            <v/>
          </cell>
          <cell r="G386" t="str">
            <v/>
          </cell>
          <cell r="K386" t="str">
            <v/>
          </cell>
          <cell r="L386" t="str">
            <v/>
          </cell>
          <cell r="N386">
            <v>0</v>
          </cell>
        </row>
        <row r="387">
          <cell r="B387">
            <v>205</v>
          </cell>
          <cell r="E387" t="str">
            <v/>
          </cell>
          <cell r="F387" t="str">
            <v/>
          </cell>
          <cell r="G387" t="str">
            <v/>
          </cell>
          <cell r="K387" t="str">
            <v/>
          </cell>
          <cell r="L387" t="str">
            <v/>
          </cell>
          <cell r="N387">
            <v>0</v>
          </cell>
        </row>
        <row r="388">
          <cell r="B388">
            <v>205</v>
          </cell>
          <cell r="E388" t="str">
            <v/>
          </cell>
          <cell r="F388" t="str">
            <v/>
          </cell>
          <cell r="G388" t="str">
            <v/>
          </cell>
          <cell r="K388" t="str">
            <v/>
          </cell>
          <cell r="L388" t="str">
            <v/>
          </cell>
          <cell r="N388">
            <v>0</v>
          </cell>
        </row>
        <row r="389">
          <cell r="B389">
            <v>205</v>
          </cell>
          <cell r="E389" t="str">
            <v/>
          </cell>
          <cell r="F389" t="str">
            <v/>
          </cell>
          <cell r="G389" t="str">
            <v/>
          </cell>
          <cell r="K389" t="str">
            <v/>
          </cell>
          <cell r="L389" t="str">
            <v/>
          </cell>
          <cell r="N389">
            <v>0</v>
          </cell>
        </row>
        <row r="390">
          <cell r="B390">
            <v>205</v>
          </cell>
          <cell r="E390" t="str">
            <v/>
          </cell>
          <cell r="F390" t="str">
            <v/>
          </cell>
          <cell r="G390" t="str">
            <v/>
          </cell>
          <cell r="K390" t="str">
            <v/>
          </cell>
          <cell r="L390" t="str">
            <v/>
          </cell>
          <cell r="N390">
            <v>0</v>
          </cell>
        </row>
        <row r="391">
          <cell r="B391">
            <v>205</v>
          </cell>
          <cell r="E391" t="str">
            <v/>
          </cell>
          <cell r="F391" t="str">
            <v/>
          </cell>
          <cell r="G391" t="str">
            <v/>
          </cell>
          <cell r="K391" t="str">
            <v/>
          </cell>
          <cell r="L391" t="str">
            <v/>
          </cell>
          <cell r="N391">
            <v>0</v>
          </cell>
        </row>
        <row r="392">
          <cell r="B392">
            <v>205</v>
          </cell>
          <cell r="E392" t="str">
            <v/>
          </cell>
          <cell r="F392" t="str">
            <v/>
          </cell>
          <cell r="G392" t="str">
            <v/>
          </cell>
          <cell r="K392" t="str">
            <v/>
          </cell>
          <cell r="L392" t="str">
            <v/>
          </cell>
          <cell r="N392">
            <v>0</v>
          </cell>
        </row>
        <row r="393">
          <cell r="B393">
            <v>205</v>
          </cell>
          <cell r="E393" t="str">
            <v/>
          </cell>
          <cell r="F393" t="str">
            <v/>
          </cell>
          <cell r="G393" t="str">
            <v/>
          </cell>
          <cell r="K393" t="str">
            <v/>
          </cell>
          <cell r="L393" t="str">
            <v/>
          </cell>
          <cell r="N393">
            <v>0</v>
          </cell>
        </row>
        <row r="394">
          <cell r="B394">
            <v>205</v>
          </cell>
          <cell r="E394" t="str">
            <v/>
          </cell>
          <cell r="F394" t="str">
            <v/>
          </cell>
          <cell r="G394" t="str">
            <v/>
          </cell>
          <cell r="K394" t="str">
            <v/>
          </cell>
          <cell r="L394" t="str">
            <v/>
          </cell>
          <cell r="N394">
            <v>0</v>
          </cell>
        </row>
        <row r="395">
          <cell r="B395">
            <v>205</v>
          </cell>
          <cell r="E395" t="str">
            <v/>
          </cell>
          <cell r="F395" t="str">
            <v/>
          </cell>
          <cell r="G395" t="str">
            <v/>
          </cell>
          <cell r="K395" t="str">
            <v/>
          </cell>
          <cell r="L395" t="str">
            <v/>
          </cell>
          <cell r="N395">
            <v>0</v>
          </cell>
        </row>
        <row r="396">
          <cell r="B396">
            <v>205</v>
          </cell>
          <cell r="E396" t="str">
            <v/>
          </cell>
          <cell r="F396" t="str">
            <v/>
          </cell>
          <cell r="G396" t="str">
            <v/>
          </cell>
          <cell r="K396" t="str">
            <v/>
          </cell>
          <cell r="L396" t="str">
            <v/>
          </cell>
          <cell r="N396">
            <v>0</v>
          </cell>
        </row>
        <row r="397">
          <cell r="B397">
            <v>205</v>
          </cell>
          <cell r="E397" t="str">
            <v/>
          </cell>
          <cell r="F397" t="str">
            <v/>
          </cell>
          <cell r="G397" t="str">
            <v/>
          </cell>
          <cell r="K397" t="str">
            <v/>
          </cell>
          <cell r="L397" t="str">
            <v/>
          </cell>
          <cell r="N397">
            <v>0</v>
          </cell>
        </row>
        <row r="398">
          <cell r="B398">
            <v>205</v>
          </cell>
          <cell r="E398" t="str">
            <v/>
          </cell>
          <cell r="F398" t="str">
            <v/>
          </cell>
          <cell r="G398" t="str">
            <v/>
          </cell>
          <cell r="K398" t="str">
            <v/>
          </cell>
          <cell r="L398" t="str">
            <v/>
          </cell>
          <cell r="N398">
            <v>0</v>
          </cell>
        </row>
        <row r="399">
          <cell r="B399">
            <v>205</v>
          </cell>
          <cell r="E399" t="str">
            <v/>
          </cell>
          <cell r="F399" t="str">
            <v/>
          </cell>
          <cell r="G399" t="str">
            <v/>
          </cell>
          <cell r="K399" t="str">
            <v/>
          </cell>
          <cell r="L399" t="str">
            <v/>
          </cell>
          <cell r="N399">
            <v>0</v>
          </cell>
        </row>
        <row r="400">
          <cell r="B400">
            <v>205</v>
          </cell>
          <cell r="E400" t="str">
            <v/>
          </cell>
          <cell r="F400" t="str">
            <v/>
          </cell>
          <cell r="G400" t="str">
            <v/>
          </cell>
          <cell r="K400" t="str">
            <v/>
          </cell>
          <cell r="L400" t="str">
            <v/>
          </cell>
          <cell r="N400">
            <v>0</v>
          </cell>
        </row>
        <row r="401">
          <cell r="B401">
            <v>205</v>
          </cell>
          <cell r="E401" t="str">
            <v/>
          </cell>
          <cell r="F401" t="str">
            <v/>
          </cell>
          <cell r="G401" t="str">
            <v/>
          </cell>
          <cell r="K401" t="str">
            <v/>
          </cell>
          <cell r="L401" t="str">
            <v/>
          </cell>
          <cell r="N401">
            <v>0</v>
          </cell>
        </row>
        <row r="402">
          <cell r="B402">
            <v>205</v>
          </cell>
          <cell r="E402" t="str">
            <v/>
          </cell>
          <cell r="F402" t="str">
            <v/>
          </cell>
          <cell r="G402" t="str">
            <v/>
          </cell>
          <cell r="K402" t="str">
            <v/>
          </cell>
          <cell r="L402" t="str">
            <v/>
          </cell>
          <cell r="N402">
            <v>0</v>
          </cell>
        </row>
        <row r="403">
          <cell r="B403">
            <v>205</v>
          </cell>
          <cell r="E403" t="str">
            <v/>
          </cell>
          <cell r="F403" t="str">
            <v/>
          </cell>
          <cell r="G403" t="str">
            <v/>
          </cell>
          <cell r="K403" t="str">
            <v/>
          </cell>
          <cell r="L403" t="str">
            <v/>
          </cell>
          <cell r="N403">
            <v>0</v>
          </cell>
        </row>
        <row r="404">
          <cell r="B404">
            <v>205</v>
          </cell>
          <cell r="E404" t="str">
            <v/>
          </cell>
          <cell r="F404" t="str">
            <v/>
          </cell>
          <cell r="G404" t="str">
            <v/>
          </cell>
          <cell r="K404" t="str">
            <v/>
          </cell>
          <cell r="L404" t="str">
            <v/>
          </cell>
          <cell r="N404">
            <v>0</v>
          </cell>
        </row>
        <row r="405">
          <cell r="B405">
            <v>205</v>
          </cell>
          <cell r="E405" t="str">
            <v/>
          </cell>
          <cell r="F405" t="str">
            <v/>
          </cell>
          <cell r="G405" t="str">
            <v/>
          </cell>
          <cell r="K405" t="str">
            <v/>
          </cell>
          <cell r="L405" t="str">
            <v/>
          </cell>
          <cell r="N405">
            <v>0</v>
          </cell>
        </row>
        <row r="406">
          <cell r="B406">
            <v>205</v>
          </cell>
          <cell r="E406" t="str">
            <v/>
          </cell>
          <cell r="F406" t="str">
            <v/>
          </cell>
          <cell r="G406" t="str">
            <v/>
          </cell>
          <cell r="K406" t="str">
            <v/>
          </cell>
          <cell r="L406" t="str">
            <v/>
          </cell>
          <cell r="N406">
            <v>0</v>
          </cell>
        </row>
        <row r="407">
          <cell r="B407">
            <v>205</v>
          </cell>
          <cell r="E407" t="str">
            <v/>
          </cell>
          <cell r="F407" t="str">
            <v/>
          </cell>
          <cell r="G407" t="str">
            <v/>
          </cell>
          <cell r="K407" t="str">
            <v/>
          </cell>
          <cell r="L407" t="str">
            <v/>
          </cell>
          <cell r="N407">
            <v>0</v>
          </cell>
        </row>
        <row r="408">
          <cell r="B408">
            <v>205</v>
          </cell>
          <cell r="E408" t="str">
            <v/>
          </cell>
          <cell r="F408" t="str">
            <v/>
          </cell>
          <cell r="G408" t="str">
            <v/>
          </cell>
          <cell r="K408" t="str">
            <v/>
          </cell>
          <cell r="L408" t="str">
            <v/>
          </cell>
          <cell r="N408">
            <v>0</v>
          </cell>
        </row>
        <row r="409">
          <cell r="B409">
            <v>205</v>
          </cell>
          <cell r="E409" t="str">
            <v/>
          </cell>
          <cell r="F409" t="str">
            <v/>
          </cell>
          <cell r="G409" t="str">
            <v/>
          </cell>
          <cell r="K409" t="str">
            <v/>
          </cell>
          <cell r="L409" t="str">
            <v/>
          </cell>
          <cell r="N409">
            <v>0</v>
          </cell>
        </row>
        <row r="410">
          <cell r="B410">
            <v>205</v>
          </cell>
          <cell r="E410" t="str">
            <v/>
          </cell>
          <cell r="F410" t="str">
            <v/>
          </cell>
          <cell r="G410" t="str">
            <v/>
          </cell>
          <cell r="K410" t="str">
            <v/>
          </cell>
          <cell r="L410" t="str">
            <v/>
          </cell>
          <cell r="N410">
            <v>0</v>
          </cell>
        </row>
        <row r="411">
          <cell r="B411">
            <v>205</v>
          </cell>
          <cell r="E411" t="str">
            <v/>
          </cell>
          <cell r="F411" t="str">
            <v/>
          </cell>
          <cell r="G411" t="str">
            <v/>
          </cell>
          <cell r="K411" t="str">
            <v/>
          </cell>
          <cell r="L411" t="str">
            <v/>
          </cell>
          <cell r="N411">
            <v>0</v>
          </cell>
        </row>
        <row r="412">
          <cell r="B412">
            <v>205</v>
          </cell>
          <cell r="E412" t="str">
            <v/>
          </cell>
          <cell r="F412" t="str">
            <v/>
          </cell>
          <cell r="G412" t="str">
            <v/>
          </cell>
          <cell r="K412" t="str">
            <v/>
          </cell>
          <cell r="L412" t="str">
            <v/>
          </cell>
          <cell r="N412">
            <v>0</v>
          </cell>
        </row>
        <row r="413">
          <cell r="B413">
            <v>205</v>
          </cell>
          <cell r="E413" t="str">
            <v/>
          </cell>
          <cell r="F413" t="str">
            <v/>
          </cell>
          <cell r="G413" t="str">
            <v/>
          </cell>
          <cell r="K413" t="str">
            <v/>
          </cell>
          <cell r="L413" t="str">
            <v/>
          </cell>
          <cell r="N413">
            <v>0</v>
          </cell>
        </row>
        <row r="414">
          <cell r="B414">
            <v>205</v>
          </cell>
          <cell r="E414" t="str">
            <v/>
          </cell>
          <cell r="F414" t="str">
            <v/>
          </cell>
          <cell r="G414" t="str">
            <v/>
          </cell>
          <cell r="K414" t="str">
            <v/>
          </cell>
          <cell r="L414" t="str">
            <v/>
          </cell>
          <cell r="N414">
            <v>0</v>
          </cell>
        </row>
        <row r="415">
          <cell r="B415">
            <v>205</v>
          </cell>
          <cell r="E415" t="str">
            <v/>
          </cell>
          <cell r="F415" t="str">
            <v/>
          </cell>
          <cell r="G415" t="str">
            <v/>
          </cell>
          <cell r="K415" t="str">
            <v/>
          </cell>
          <cell r="L415" t="str">
            <v/>
          </cell>
          <cell r="N415">
            <v>0</v>
          </cell>
        </row>
        <row r="416">
          <cell r="B416">
            <v>205</v>
          </cell>
          <cell r="E416" t="str">
            <v/>
          </cell>
          <cell r="F416" t="str">
            <v/>
          </cell>
          <cell r="G416" t="str">
            <v/>
          </cell>
          <cell r="K416" t="str">
            <v/>
          </cell>
          <cell r="L416" t="str">
            <v/>
          </cell>
          <cell r="N416">
            <v>0</v>
          </cell>
        </row>
        <row r="417">
          <cell r="B417">
            <v>205</v>
          </cell>
          <cell r="E417" t="str">
            <v/>
          </cell>
          <cell r="F417" t="str">
            <v/>
          </cell>
          <cell r="G417" t="str">
            <v/>
          </cell>
          <cell r="K417" t="str">
            <v/>
          </cell>
          <cell r="L417" t="str">
            <v/>
          </cell>
          <cell r="N417">
            <v>0</v>
          </cell>
        </row>
        <row r="418">
          <cell r="B418">
            <v>205</v>
          </cell>
          <cell r="E418" t="str">
            <v/>
          </cell>
          <cell r="F418" t="str">
            <v/>
          </cell>
          <cell r="G418" t="str">
            <v/>
          </cell>
          <cell r="K418" t="str">
            <v/>
          </cell>
          <cell r="L418" t="str">
            <v/>
          </cell>
          <cell r="N418">
            <v>0</v>
          </cell>
        </row>
        <row r="419">
          <cell r="B419">
            <v>205</v>
          </cell>
          <cell r="E419" t="str">
            <v/>
          </cell>
          <cell r="F419" t="str">
            <v/>
          </cell>
          <cell r="G419" t="str">
            <v/>
          </cell>
          <cell r="K419" t="str">
            <v/>
          </cell>
          <cell r="L419" t="str">
            <v/>
          </cell>
          <cell r="N419">
            <v>0</v>
          </cell>
        </row>
        <row r="420">
          <cell r="B420">
            <v>205</v>
          </cell>
          <cell r="E420" t="str">
            <v/>
          </cell>
          <cell r="F420" t="str">
            <v/>
          </cell>
          <cell r="G420" t="str">
            <v/>
          </cell>
          <cell r="K420" t="str">
            <v/>
          </cell>
          <cell r="L420" t="str">
            <v/>
          </cell>
          <cell r="N420">
            <v>0</v>
          </cell>
        </row>
        <row r="421">
          <cell r="B421">
            <v>205</v>
          </cell>
          <cell r="E421" t="str">
            <v/>
          </cell>
          <cell r="F421" t="str">
            <v/>
          </cell>
          <cell r="G421" t="str">
            <v/>
          </cell>
          <cell r="K421" t="str">
            <v/>
          </cell>
          <cell r="L421" t="str">
            <v/>
          </cell>
          <cell r="N421">
            <v>0</v>
          </cell>
        </row>
        <row r="422">
          <cell r="B422">
            <v>205</v>
          </cell>
          <cell r="E422" t="str">
            <v/>
          </cell>
          <cell r="F422" t="str">
            <v/>
          </cell>
          <cell r="G422" t="str">
            <v/>
          </cell>
          <cell r="K422" t="str">
            <v/>
          </cell>
          <cell r="L422" t="str">
            <v/>
          </cell>
          <cell r="N422">
            <v>0</v>
          </cell>
        </row>
        <row r="423">
          <cell r="B423">
            <v>205</v>
          </cell>
          <cell r="E423" t="str">
            <v/>
          </cell>
          <cell r="F423" t="str">
            <v/>
          </cell>
          <cell r="G423" t="str">
            <v/>
          </cell>
          <cell r="K423" t="str">
            <v/>
          </cell>
          <cell r="L423" t="str">
            <v/>
          </cell>
          <cell r="N423">
            <v>0</v>
          </cell>
        </row>
        <row r="424">
          <cell r="B424">
            <v>205</v>
          </cell>
          <cell r="E424" t="str">
            <v/>
          </cell>
          <cell r="F424" t="str">
            <v/>
          </cell>
          <cell r="G424" t="str">
            <v/>
          </cell>
          <cell r="K424" t="str">
            <v/>
          </cell>
          <cell r="L424" t="str">
            <v/>
          </cell>
          <cell r="N424">
            <v>0</v>
          </cell>
        </row>
        <row r="425">
          <cell r="B425">
            <v>205</v>
          </cell>
          <cell r="E425" t="str">
            <v/>
          </cell>
          <cell r="F425" t="str">
            <v/>
          </cell>
          <cell r="G425" t="str">
            <v/>
          </cell>
          <cell r="K425" t="str">
            <v/>
          </cell>
          <cell r="L425" t="str">
            <v/>
          </cell>
          <cell r="N425">
            <v>0</v>
          </cell>
        </row>
        <row r="426">
          <cell r="B426">
            <v>205</v>
          </cell>
          <cell r="E426" t="str">
            <v/>
          </cell>
          <cell r="F426" t="str">
            <v/>
          </cell>
          <cell r="G426" t="str">
            <v/>
          </cell>
          <cell r="K426" t="str">
            <v/>
          </cell>
          <cell r="L426" t="str">
            <v/>
          </cell>
          <cell r="N426">
            <v>0</v>
          </cell>
        </row>
        <row r="427">
          <cell r="B427">
            <v>205</v>
          </cell>
          <cell r="E427" t="str">
            <v/>
          </cell>
          <cell r="F427" t="str">
            <v/>
          </cell>
          <cell r="G427" t="str">
            <v/>
          </cell>
          <cell r="K427" t="str">
            <v/>
          </cell>
          <cell r="L427" t="str">
            <v/>
          </cell>
          <cell r="N427">
            <v>0</v>
          </cell>
        </row>
        <row r="428">
          <cell r="B428">
            <v>205</v>
          </cell>
          <cell r="E428" t="str">
            <v/>
          </cell>
          <cell r="F428" t="str">
            <v/>
          </cell>
          <cell r="G428" t="str">
            <v/>
          </cell>
          <cell r="K428" t="str">
            <v/>
          </cell>
          <cell r="L428" t="str">
            <v/>
          </cell>
          <cell r="N428">
            <v>0</v>
          </cell>
        </row>
        <row r="429">
          <cell r="B429">
            <v>205</v>
          </cell>
          <cell r="E429" t="str">
            <v/>
          </cell>
          <cell r="F429" t="str">
            <v/>
          </cell>
          <cell r="G429" t="str">
            <v/>
          </cell>
          <cell r="K429" t="str">
            <v/>
          </cell>
          <cell r="L429" t="str">
            <v/>
          </cell>
          <cell r="N429">
            <v>0</v>
          </cell>
        </row>
        <row r="430">
          <cell r="B430">
            <v>205</v>
          </cell>
          <cell r="E430" t="str">
            <v/>
          </cell>
          <cell r="F430" t="str">
            <v/>
          </cell>
          <cell r="G430" t="str">
            <v/>
          </cell>
          <cell r="K430" t="str">
            <v/>
          </cell>
          <cell r="L430" t="str">
            <v/>
          </cell>
          <cell r="N430">
            <v>0</v>
          </cell>
        </row>
        <row r="431">
          <cell r="B431">
            <v>205</v>
          </cell>
          <cell r="E431" t="str">
            <v/>
          </cell>
          <cell r="F431" t="str">
            <v/>
          </cell>
          <cell r="G431" t="str">
            <v/>
          </cell>
          <cell r="K431" t="str">
            <v/>
          </cell>
          <cell r="L431" t="str">
            <v/>
          </cell>
          <cell r="N431">
            <v>0</v>
          </cell>
        </row>
        <row r="432">
          <cell r="B432">
            <v>205</v>
          </cell>
          <cell r="E432" t="str">
            <v/>
          </cell>
          <cell r="F432" t="str">
            <v/>
          </cell>
          <cell r="G432" t="str">
            <v/>
          </cell>
          <cell r="K432" t="str">
            <v/>
          </cell>
          <cell r="L432" t="str">
            <v/>
          </cell>
          <cell r="N432">
            <v>0</v>
          </cell>
        </row>
        <row r="433">
          <cell r="B433">
            <v>205</v>
          </cell>
          <cell r="E433" t="str">
            <v/>
          </cell>
          <cell r="F433" t="str">
            <v/>
          </cell>
          <cell r="G433" t="str">
            <v/>
          </cell>
          <cell r="K433" t="str">
            <v/>
          </cell>
          <cell r="L433" t="str">
            <v/>
          </cell>
          <cell r="N433">
            <v>0</v>
          </cell>
        </row>
        <row r="434">
          <cell r="B434">
            <v>205</v>
          </cell>
          <cell r="E434" t="str">
            <v/>
          </cell>
          <cell r="F434" t="str">
            <v/>
          </cell>
          <cell r="G434" t="str">
            <v/>
          </cell>
          <cell r="K434" t="str">
            <v/>
          </cell>
          <cell r="L434" t="str">
            <v/>
          </cell>
          <cell r="N434">
            <v>0</v>
          </cell>
        </row>
        <row r="435">
          <cell r="B435">
            <v>205</v>
          </cell>
          <cell r="E435" t="str">
            <v/>
          </cell>
          <cell r="F435" t="str">
            <v/>
          </cell>
          <cell r="G435" t="str">
            <v/>
          </cell>
          <cell r="K435" t="str">
            <v/>
          </cell>
          <cell r="L435" t="str">
            <v/>
          </cell>
          <cell r="N435">
            <v>0</v>
          </cell>
        </row>
        <row r="436">
          <cell r="B436">
            <v>205</v>
          </cell>
          <cell r="E436" t="str">
            <v/>
          </cell>
          <cell r="F436" t="str">
            <v/>
          </cell>
          <cell r="G436" t="str">
            <v/>
          </cell>
          <cell r="K436" t="str">
            <v/>
          </cell>
          <cell r="L436" t="str">
            <v/>
          </cell>
          <cell r="N436">
            <v>0</v>
          </cell>
        </row>
        <row r="437">
          <cell r="B437">
            <v>205</v>
          </cell>
          <cell r="E437" t="str">
            <v/>
          </cell>
          <cell r="F437" t="str">
            <v/>
          </cell>
          <cell r="G437" t="str">
            <v/>
          </cell>
          <cell r="K437" t="str">
            <v/>
          </cell>
          <cell r="L437" t="str">
            <v/>
          </cell>
          <cell r="N437">
            <v>0</v>
          </cell>
        </row>
        <row r="438">
          <cell r="B438">
            <v>205</v>
          </cell>
          <cell r="E438" t="str">
            <v/>
          </cell>
          <cell r="F438" t="str">
            <v/>
          </cell>
          <cell r="G438" t="str">
            <v/>
          </cell>
          <cell r="K438" t="str">
            <v/>
          </cell>
          <cell r="L438" t="str">
            <v/>
          </cell>
          <cell r="N438">
            <v>0</v>
          </cell>
        </row>
        <row r="439">
          <cell r="B439">
            <v>205</v>
          </cell>
          <cell r="E439" t="str">
            <v/>
          </cell>
          <cell r="F439" t="str">
            <v/>
          </cell>
          <cell r="G439" t="str">
            <v/>
          </cell>
          <cell r="K439" t="str">
            <v/>
          </cell>
          <cell r="L439" t="str">
            <v/>
          </cell>
          <cell r="N439">
            <v>0</v>
          </cell>
        </row>
        <row r="440">
          <cell r="B440">
            <v>205</v>
          </cell>
          <cell r="E440" t="str">
            <v/>
          </cell>
          <cell r="F440" t="str">
            <v/>
          </cell>
          <cell r="G440" t="str">
            <v/>
          </cell>
          <cell r="K440" t="str">
            <v/>
          </cell>
          <cell r="L440" t="str">
            <v/>
          </cell>
          <cell r="N440">
            <v>0</v>
          </cell>
        </row>
        <row r="441">
          <cell r="B441">
            <v>205</v>
          </cell>
          <cell r="E441" t="str">
            <v/>
          </cell>
          <cell r="F441" t="str">
            <v/>
          </cell>
          <cell r="G441" t="str">
            <v/>
          </cell>
          <cell r="K441" t="str">
            <v/>
          </cell>
          <cell r="L441" t="str">
            <v/>
          </cell>
          <cell r="N441">
            <v>0</v>
          </cell>
        </row>
        <row r="442">
          <cell r="B442">
            <v>205</v>
          </cell>
          <cell r="E442" t="str">
            <v/>
          </cell>
          <cell r="F442" t="str">
            <v/>
          </cell>
          <cell r="G442" t="str">
            <v/>
          </cell>
          <cell r="K442" t="str">
            <v/>
          </cell>
          <cell r="L442" t="str">
            <v/>
          </cell>
          <cell r="N442">
            <v>0</v>
          </cell>
        </row>
        <row r="443">
          <cell r="B443">
            <v>205</v>
          </cell>
          <cell r="E443" t="str">
            <v/>
          </cell>
          <cell r="F443" t="str">
            <v/>
          </cell>
          <cell r="G443" t="str">
            <v/>
          </cell>
          <cell r="K443" t="str">
            <v/>
          </cell>
          <cell r="L443" t="str">
            <v/>
          </cell>
          <cell r="N443">
            <v>0</v>
          </cell>
        </row>
        <row r="444">
          <cell r="B444">
            <v>205</v>
          </cell>
          <cell r="E444" t="str">
            <v/>
          </cell>
          <cell r="F444" t="str">
            <v/>
          </cell>
          <cell r="G444" t="str">
            <v/>
          </cell>
          <cell r="K444" t="str">
            <v/>
          </cell>
          <cell r="L444" t="str">
            <v/>
          </cell>
          <cell r="N444">
            <v>0</v>
          </cell>
        </row>
        <row r="445">
          <cell r="B445">
            <v>205</v>
          </cell>
          <cell r="E445" t="str">
            <v/>
          </cell>
          <cell r="F445" t="str">
            <v/>
          </cell>
          <cell r="G445" t="str">
            <v/>
          </cell>
          <cell r="K445" t="str">
            <v/>
          </cell>
          <cell r="L445" t="str">
            <v/>
          </cell>
          <cell r="N445">
            <v>0</v>
          </cell>
        </row>
        <row r="446">
          <cell r="B446">
            <v>205</v>
          </cell>
          <cell r="E446" t="str">
            <v/>
          </cell>
          <cell r="F446" t="str">
            <v/>
          </cell>
          <cell r="G446" t="str">
            <v/>
          </cell>
          <cell r="K446" t="str">
            <v/>
          </cell>
          <cell r="L446" t="str">
            <v/>
          </cell>
          <cell r="N446">
            <v>0</v>
          </cell>
        </row>
        <row r="447">
          <cell r="B447">
            <v>205</v>
          </cell>
          <cell r="E447" t="str">
            <v/>
          </cell>
          <cell r="F447" t="str">
            <v/>
          </cell>
          <cell r="G447" t="str">
            <v/>
          </cell>
          <cell r="K447" t="str">
            <v/>
          </cell>
          <cell r="L447" t="str">
            <v/>
          </cell>
          <cell r="N447">
            <v>0</v>
          </cell>
        </row>
        <row r="448">
          <cell r="B448">
            <v>205</v>
          </cell>
          <cell r="E448" t="str">
            <v/>
          </cell>
          <cell r="F448" t="str">
            <v/>
          </cell>
          <cell r="G448" t="str">
            <v/>
          </cell>
          <cell r="K448" t="str">
            <v/>
          </cell>
          <cell r="L448" t="str">
            <v/>
          </cell>
          <cell r="N448">
            <v>0</v>
          </cell>
        </row>
        <row r="449">
          <cell r="B449">
            <v>205</v>
          </cell>
          <cell r="E449" t="str">
            <v/>
          </cell>
          <cell r="F449" t="str">
            <v/>
          </cell>
          <cell r="G449" t="str">
            <v/>
          </cell>
          <cell r="K449" t="str">
            <v/>
          </cell>
          <cell r="L449" t="str">
            <v/>
          </cell>
          <cell r="N449">
            <v>0</v>
          </cell>
        </row>
        <row r="450">
          <cell r="B450">
            <v>205</v>
          </cell>
          <cell r="E450" t="str">
            <v/>
          </cell>
          <cell r="F450" t="str">
            <v/>
          </cell>
          <cell r="G450" t="str">
            <v/>
          </cell>
          <cell r="K450" t="str">
            <v/>
          </cell>
          <cell r="L450" t="str">
            <v/>
          </cell>
          <cell r="N450">
            <v>0</v>
          </cell>
        </row>
        <row r="451">
          <cell r="B451">
            <v>205</v>
          </cell>
          <cell r="E451" t="str">
            <v/>
          </cell>
          <cell r="F451" t="str">
            <v/>
          </cell>
          <cell r="G451" t="str">
            <v/>
          </cell>
          <cell r="K451" t="str">
            <v/>
          </cell>
          <cell r="L451" t="str">
            <v/>
          </cell>
          <cell r="N451">
            <v>0</v>
          </cell>
        </row>
        <row r="452">
          <cell r="B452">
            <v>205</v>
          </cell>
          <cell r="E452" t="str">
            <v/>
          </cell>
          <cell r="F452" t="str">
            <v/>
          </cell>
          <cell r="G452" t="str">
            <v/>
          </cell>
          <cell r="K452" t="str">
            <v/>
          </cell>
          <cell r="L452" t="str">
            <v/>
          </cell>
          <cell r="N452">
            <v>0</v>
          </cell>
        </row>
        <row r="453">
          <cell r="B453">
            <v>205</v>
          </cell>
          <cell r="E453" t="str">
            <v/>
          </cell>
          <cell r="F453" t="str">
            <v/>
          </cell>
          <cell r="G453" t="str">
            <v/>
          </cell>
          <cell r="K453" t="str">
            <v/>
          </cell>
          <cell r="L453" t="str">
            <v/>
          </cell>
          <cell r="N453">
            <v>0</v>
          </cell>
        </row>
        <row r="454">
          <cell r="B454">
            <v>205</v>
          </cell>
          <cell r="E454" t="str">
            <v/>
          </cell>
          <cell r="F454" t="str">
            <v/>
          </cell>
          <cell r="G454" t="str">
            <v/>
          </cell>
          <cell r="K454" t="str">
            <v/>
          </cell>
          <cell r="L454" t="str">
            <v/>
          </cell>
          <cell r="N454">
            <v>0</v>
          </cell>
        </row>
        <row r="455">
          <cell r="B455">
            <v>205</v>
          </cell>
          <cell r="E455" t="str">
            <v/>
          </cell>
          <cell r="F455" t="str">
            <v/>
          </cell>
          <cell r="G455" t="str">
            <v/>
          </cell>
          <cell r="K455" t="str">
            <v/>
          </cell>
          <cell r="L455" t="str">
            <v/>
          </cell>
          <cell r="N455">
            <v>0</v>
          </cell>
        </row>
        <row r="456">
          <cell r="B456">
            <v>205</v>
          </cell>
          <cell r="E456" t="str">
            <v/>
          </cell>
          <cell r="F456" t="str">
            <v/>
          </cell>
          <cell r="G456" t="str">
            <v/>
          </cell>
          <cell r="K456" t="str">
            <v/>
          </cell>
          <cell r="L456" t="str">
            <v/>
          </cell>
          <cell r="N456">
            <v>0</v>
          </cell>
        </row>
        <row r="457">
          <cell r="B457">
            <v>205</v>
          </cell>
          <cell r="E457" t="str">
            <v/>
          </cell>
          <cell r="F457" t="str">
            <v/>
          </cell>
          <cell r="G457" t="str">
            <v/>
          </cell>
          <cell r="K457" t="str">
            <v/>
          </cell>
          <cell r="L457" t="str">
            <v/>
          </cell>
          <cell r="N457">
            <v>0</v>
          </cell>
        </row>
        <row r="458">
          <cell r="B458">
            <v>205</v>
          </cell>
          <cell r="E458" t="str">
            <v/>
          </cell>
          <cell r="F458" t="str">
            <v/>
          </cell>
          <cell r="G458" t="str">
            <v/>
          </cell>
          <cell r="K458" t="str">
            <v/>
          </cell>
          <cell r="L458" t="str">
            <v/>
          </cell>
          <cell r="N458">
            <v>0</v>
          </cell>
        </row>
        <row r="459">
          <cell r="B459">
            <v>205</v>
          </cell>
          <cell r="E459" t="str">
            <v/>
          </cell>
          <cell r="F459" t="str">
            <v/>
          </cell>
          <cell r="G459" t="str">
            <v/>
          </cell>
          <cell r="K459" t="str">
            <v/>
          </cell>
          <cell r="L459" t="str">
            <v/>
          </cell>
          <cell r="N459">
            <v>0</v>
          </cell>
        </row>
        <row r="460">
          <cell r="B460">
            <v>205</v>
          </cell>
          <cell r="E460" t="str">
            <v/>
          </cell>
          <cell r="F460" t="str">
            <v/>
          </cell>
          <cell r="G460" t="str">
            <v/>
          </cell>
          <cell r="K460" t="str">
            <v/>
          </cell>
          <cell r="L460" t="str">
            <v/>
          </cell>
          <cell r="N460">
            <v>0</v>
          </cell>
        </row>
        <row r="461">
          <cell r="B461">
            <v>205</v>
          </cell>
          <cell r="E461" t="str">
            <v/>
          </cell>
          <cell r="F461" t="str">
            <v/>
          </cell>
          <cell r="G461" t="str">
            <v/>
          </cell>
          <cell r="K461" t="str">
            <v/>
          </cell>
          <cell r="L461" t="str">
            <v/>
          </cell>
          <cell r="N461">
            <v>0</v>
          </cell>
        </row>
        <row r="462">
          <cell r="B462">
            <v>205</v>
          </cell>
          <cell r="E462" t="str">
            <v/>
          </cell>
          <cell r="F462" t="str">
            <v/>
          </cell>
          <cell r="G462" t="str">
            <v/>
          </cell>
          <cell r="K462" t="str">
            <v/>
          </cell>
          <cell r="L462" t="str">
            <v/>
          </cell>
          <cell r="N462">
            <v>0</v>
          </cell>
        </row>
        <row r="463">
          <cell r="B463">
            <v>205</v>
          </cell>
          <cell r="E463" t="str">
            <v/>
          </cell>
          <cell r="F463" t="str">
            <v/>
          </cell>
          <cell r="G463" t="str">
            <v/>
          </cell>
          <cell r="K463" t="str">
            <v/>
          </cell>
          <cell r="L463" t="str">
            <v/>
          </cell>
          <cell r="N463">
            <v>0</v>
          </cell>
        </row>
        <row r="464">
          <cell r="B464">
            <v>205</v>
          </cell>
          <cell r="E464" t="str">
            <v/>
          </cell>
          <cell r="F464" t="str">
            <v/>
          </cell>
          <cell r="G464" t="str">
            <v/>
          </cell>
          <cell r="K464" t="str">
            <v/>
          </cell>
          <cell r="L464" t="str">
            <v/>
          </cell>
          <cell r="N464">
            <v>0</v>
          </cell>
        </row>
        <row r="465">
          <cell r="B465">
            <v>205</v>
          </cell>
          <cell r="E465" t="str">
            <v/>
          </cell>
          <cell r="F465" t="str">
            <v/>
          </cell>
          <cell r="G465" t="str">
            <v/>
          </cell>
          <cell r="K465" t="str">
            <v/>
          </cell>
          <cell r="L465" t="str">
            <v/>
          </cell>
          <cell r="N465">
            <v>0</v>
          </cell>
        </row>
        <row r="466">
          <cell r="B466">
            <v>205</v>
          </cell>
          <cell r="E466" t="str">
            <v/>
          </cell>
          <cell r="F466" t="str">
            <v/>
          </cell>
          <cell r="G466" t="str">
            <v/>
          </cell>
          <cell r="K466" t="str">
            <v/>
          </cell>
          <cell r="L466" t="str">
            <v/>
          </cell>
          <cell r="N466">
            <v>0</v>
          </cell>
        </row>
        <row r="467">
          <cell r="B467">
            <v>205</v>
          </cell>
          <cell r="E467" t="str">
            <v/>
          </cell>
          <cell r="F467" t="str">
            <v/>
          </cell>
          <cell r="G467" t="str">
            <v/>
          </cell>
          <cell r="K467" t="str">
            <v/>
          </cell>
          <cell r="L467" t="str">
            <v/>
          </cell>
          <cell r="N467">
            <v>0</v>
          </cell>
        </row>
        <row r="468">
          <cell r="B468">
            <v>205</v>
          </cell>
          <cell r="E468" t="str">
            <v/>
          </cell>
          <cell r="F468" t="str">
            <v/>
          </cell>
          <cell r="G468" t="str">
            <v/>
          </cell>
          <cell r="K468" t="str">
            <v/>
          </cell>
          <cell r="L468" t="str">
            <v/>
          </cell>
          <cell r="N468">
            <v>0</v>
          </cell>
        </row>
        <row r="469">
          <cell r="B469">
            <v>205</v>
          </cell>
          <cell r="E469" t="str">
            <v/>
          </cell>
          <cell r="F469" t="str">
            <v/>
          </cell>
          <cell r="G469" t="str">
            <v/>
          </cell>
          <cell r="K469" t="str">
            <v/>
          </cell>
          <cell r="L469" t="str">
            <v/>
          </cell>
          <cell r="N469">
            <v>0</v>
          </cell>
        </row>
        <row r="470">
          <cell r="B470">
            <v>205</v>
          </cell>
          <cell r="E470" t="str">
            <v/>
          </cell>
          <cell r="F470" t="str">
            <v/>
          </cell>
          <cell r="G470" t="str">
            <v/>
          </cell>
          <cell r="K470" t="str">
            <v/>
          </cell>
          <cell r="L470" t="str">
            <v/>
          </cell>
          <cell r="N470">
            <v>0</v>
          </cell>
        </row>
        <row r="471">
          <cell r="B471">
            <v>205</v>
          </cell>
          <cell r="E471" t="str">
            <v/>
          </cell>
          <cell r="F471" t="str">
            <v/>
          </cell>
          <cell r="G471" t="str">
            <v/>
          </cell>
          <cell r="K471" t="str">
            <v/>
          </cell>
          <cell r="L471" t="str">
            <v/>
          </cell>
          <cell r="N471">
            <v>0</v>
          </cell>
        </row>
        <row r="472">
          <cell r="B472">
            <v>205</v>
          </cell>
          <cell r="E472" t="str">
            <v/>
          </cell>
          <cell r="F472" t="str">
            <v/>
          </cell>
          <cell r="G472" t="str">
            <v/>
          </cell>
          <cell r="K472" t="str">
            <v/>
          </cell>
          <cell r="L472" t="str">
            <v/>
          </cell>
          <cell r="N472">
            <v>0</v>
          </cell>
        </row>
        <row r="473">
          <cell r="B473">
            <v>205</v>
          </cell>
          <cell r="E473" t="str">
            <v/>
          </cell>
          <cell r="F473" t="str">
            <v/>
          </cell>
          <cell r="G473" t="str">
            <v/>
          </cell>
          <cell r="K473" t="str">
            <v/>
          </cell>
          <cell r="L473" t="str">
            <v/>
          </cell>
          <cell r="N473">
            <v>0</v>
          </cell>
        </row>
        <row r="474">
          <cell r="B474">
            <v>205</v>
          </cell>
          <cell r="E474" t="str">
            <v/>
          </cell>
          <cell r="F474" t="str">
            <v/>
          </cell>
          <cell r="G474" t="str">
            <v/>
          </cell>
          <cell r="K474" t="str">
            <v/>
          </cell>
          <cell r="L474" t="str">
            <v/>
          </cell>
          <cell r="N474">
            <v>0</v>
          </cell>
        </row>
        <row r="475">
          <cell r="B475">
            <v>205</v>
          </cell>
          <cell r="E475" t="str">
            <v/>
          </cell>
          <cell r="F475" t="str">
            <v/>
          </cell>
          <cell r="G475" t="str">
            <v/>
          </cell>
          <cell r="K475" t="str">
            <v/>
          </cell>
          <cell r="L475" t="str">
            <v/>
          </cell>
          <cell r="N475">
            <v>0</v>
          </cell>
        </row>
        <row r="476">
          <cell r="B476">
            <v>205</v>
          </cell>
          <cell r="E476" t="str">
            <v/>
          </cell>
          <cell r="F476" t="str">
            <v/>
          </cell>
          <cell r="G476" t="str">
            <v/>
          </cell>
          <cell r="K476" t="str">
            <v/>
          </cell>
          <cell r="L476" t="str">
            <v/>
          </cell>
          <cell r="N476">
            <v>0</v>
          </cell>
        </row>
        <row r="477">
          <cell r="B477">
            <v>205</v>
          </cell>
          <cell r="E477" t="str">
            <v/>
          </cell>
          <cell r="F477" t="str">
            <v/>
          </cell>
          <cell r="G477" t="str">
            <v/>
          </cell>
          <cell r="K477" t="str">
            <v/>
          </cell>
          <cell r="L477" t="str">
            <v/>
          </cell>
          <cell r="N477">
            <v>0</v>
          </cell>
        </row>
        <row r="478">
          <cell r="B478">
            <v>205</v>
          </cell>
          <cell r="E478" t="str">
            <v/>
          </cell>
          <cell r="F478" t="str">
            <v/>
          </cell>
          <cell r="G478" t="str">
            <v/>
          </cell>
          <cell r="K478" t="str">
            <v/>
          </cell>
          <cell r="L478" t="str">
            <v/>
          </cell>
          <cell r="N478">
            <v>0</v>
          </cell>
        </row>
        <row r="479">
          <cell r="B479">
            <v>205</v>
          </cell>
          <cell r="E479" t="str">
            <v/>
          </cell>
          <cell r="F479" t="str">
            <v/>
          </cell>
          <cell r="G479" t="str">
            <v/>
          </cell>
          <cell r="K479" t="str">
            <v/>
          </cell>
          <cell r="L479" t="str">
            <v/>
          </cell>
          <cell r="N479">
            <v>0</v>
          </cell>
        </row>
        <row r="480">
          <cell r="B480">
            <v>205</v>
          </cell>
          <cell r="E480" t="str">
            <v/>
          </cell>
          <cell r="F480" t="str">
            <v/>
          </cell>
          <cell r="G480" t="str">
            <v/>
          </cell>
          <cell r="K480" t="str">
            <v/>
          </cell>
          <cell r="L480" t="str">
            <v/>
          </cell>
          <cell r="N480">
            <v>0</v>
          </cell>
        </row>
        <row r="481">
          <cell r="B481">
            <v>205</v>
          </cell>
          <cell r="E481" t="str">
            <v/>
          </cell>
          <cell r="F481" t="str">
            <v/>
          </cell>
          <cell r="G481" t="str">
            <v/>
          </cell>
          <cell r="K481" t="str">
            <v/>
          </cell>
          <cell r="L481" t="str">
            <v/>
          </cell>
          <cell r="N481">
            <v>0</v>
          </cell>
        </row>
        <row r="482">
          <cell r="B482">
            <v>205</v>
          </cell>
          <cell r="E482" t="str">
            <v/>
          </cell>
          <cell r="F482" t="str">
            <v/>
          </cell>
          <cell r="G482" t="str">
            <v/>
          </cell>
          <cell r="K482" t="str">
            <v/>
          </cell>
          <cell r="L482" t="str">
            <v/>
          </cell>
          <cell r="N482">
            <v>0</v>
          </cell>
        </row>
        <row r="483">
          <cell r="B483">
            <v>205</v>
          </cell>
          <cell r="E483" t="str">
            <v/>
          </cell>
          <cell r="F483" t="str">
            <v/>
          </cell>
          <cell r="G483" t="str">
            <v/>
          </cell>
          <cell r="K483" t="str">
            <v/>
          </cell>
          <cell r="L483" t="str">
            <v/>
          </cell>
          <cell r="N483">
            <v>0</v>
          </cell>
        </row>
        <row r="484">
          <cell r="B484">
            <v>205</v>
          </cell>
          <cell r="E484" t="str">
            <v/>
          </cell>
          <cell r="F484" t="str">
            <v/>
          </cell>
          <cell r="G484" t="str">
            <v/>
          </cell>
          <cell r="K484" t="str">
            <v/>
          </cell>
          <cell r="L484" t="str">
            <v/>
          </cell>
          <cell r="N484">
            <v>0</v>
          </cell>
        </row>
        <row r="485">
          <cell r="B485">
            <v>205</v>
          </cell>
          <cell r="E485" t="str">
            <v/>
          </cell>
          <cell r="F485" t="str">
            <v/>
          </cell>
          <cell r="G485" t="str">
            <v/>
          </cell>
          <cell r="K485" t="str">
            <v/>
          </cell>
          <cell r="L485" t="str">
            <v/>
          </cell>
          <cell r="N485">
            <v>0</v>
          </cell>
        </row>
        <row r="486">
          <cell r="B486">
            <v>205</v>
          </cell>
          <cell r="E486" t="str">
            <v/>
          </cell>
          <cell r="F486" t="str">
            <v/>
          </cell>
          <cell r="G486" t="str">
            <v/>
          </cell>
          <cell r="K486" t="str">
            <v/>
          </cell>
          <cell r="L486" t="str">
            <v/>
          </cell>
          <cell r="N486">
            <v>0</v>
          </cell>
        </row>
        <row r="487">
          <cell r="B487">
            <v>205</v>
          </cell>
          <cell r="E487" t="str">
            <v/>
          </cell>
          <cell r="F487" t="str">
            <v/>
          </cell>
          <cell r="G487" t="str">
            <v/>
          </cell>
          <cell r="K487" t="str">
            <v/>
          </cell>
          <cell r="L487" t="str">
            <v/>
          </cell>
          <cell r="N487">
            <v>0</v>
          </cell>
        </row>
        <row r="488">
          <cell r="B488">
            <v>205</v>
          </cell>
          <cell r="E488" t="str">
            <v/>
          </cell>
          <cell r="F488" t="str">
            <v/>
          </cell>
          <cell r="G488" t="str">
            <v/>
          </cell>
          <cell r="K488" t="str">
            <v/>
          </cell>
          <cell r="L488" t="str">
            <v/>
          </cell>
          <cell r="N488">
            <v>0</v>
          </cell>
        </row>
        <row r="489">
          <cell r="B489">
            <v>205</v>
          </cell>
          <cell r="E489" t="str">
            <v/>
          </cell>
          <cell r="F489" t="str">
            <v/>
          </cell>
          <cell r="G489" t="str">
            <v/>
          </cell>
          <cell r="K489" t="str">
            <v/>
          </cell>
          <cell r="L489" t="str">
            <v/>
          </cell>
          <cell r="N489">
            <v>0</v>
          </cell>
        </row>
        <row r="490">
          <cell r="B490">
            <v>205</v>
          </cell>
          <cell r="E490" t="str">
            <v/>
          </cell>
          <cell r="F490" t="str">
            <v/>
          </cell>
          <cell r="G490" t="str">
            <v/>
          </cell>
          <cell r="K490" t="str">
            <v/>
          </cell>
          <cell r="L490" t="str">
            <v/>
          </cell>
          <cell r="N490">
            <v>0</v>
          </cell>
        </row>
        <row r="491">
          <cell r="B491">
            <v>205</v>
          </cell>
          <cell r="E491" t="str">
            <v/>
          </cell>
          <cell r="F491" t="str">
            <v/>
          </cell>
          <cell r="G491" t="str">
            <v/>
          </cell>
          <cell r="K491" t="str">
            <v/>
          </cell>
          <cell r="L491" t="str">
            <v/>
          </cell>
          <cell r="N491">
            <v>0</v>
          </cell>
        </row>
        <row r="492">
          <cell r="B492">
            <v>205</v>
          </cell>
          <cell r="E492" t="str">
            <v/>
          </cell>
          <cell r="F492" t="str">
            <v/>
          </cell>
          <cell r="G492" t="str">
            <v/>
          </cell>
          <cell r="K492" t="str">
            <v/>
          </cell>
          <cell r="L492" t="str">
            <v/>
          </cell>
          <cell r="N492">
            <v>0</v>
          </cell>
        </row>
        <row r="493">
          <cell r="B493">
            <v>205</v>
          </cell>
          <cell r="E493" t="str">
            <v/>
          </cell>
          <cell r="F493" t="str">
            <v/>
          </cell>
          <cell r="G493" t="str">
            <v/>
          </cell>
          <cell r="K493" t="str">
            <v/>
          </cell>
          <cell r="L493" t="str">
            <v/>
          </cell>
          <cell r="N493">
            <v>0</v>
          </cell>
        </row>
        <row r="494">
          <cell r="B494">
            <v>205</v>
          </cell>
          <cell r="E494" t="str">
            <v/>
          </cell>
          <cell r="F494" t="str">
            <v/>
          </cell>
          <cell r="G494" t="str">
            <v/>
          </cell>
          <cell r="K494" t="str">
            <v/>
          </cell>
          <cell r="L494" t="str">
            <v/>
          </cell>
          <cell r="N494">
            <v>0</v>
          </cell>
        </row>
        <row r="495">
          <cell r="B495">
            <v>205</v>
          </cell>
          <cell r="E495" t="str">
            <v/>
          </cell>
          <cell r="F495" t="str">
            <v/>
          </cell>
          <cell r="G495" t="str">
            <v/>
          </cell>
          <cell r="K495" t="str">
            <v/>
          </cell>
          <cell r="L495" t="str">
            <v/>
          </cell>
          <cell r="N495">
            <v>0</v>
          </cell>
        </row>
        <row r="496">
          <cell r="B496">
            <v>205</v>
          </cell>
          <cell r="E496" t="str">
            <v/>
          </cell>
          <cell r="F496" t="str">
            <v/>
          </cell>
          <cell r="G496" t="str">
            <v/>
          </cell>
          <cell r="K496" t="str">
            <v/>
          </cell>
          <cell r="L496" t="str">
            <v/>
          </cell>
          <cell r="N496">
            <v>0</v>
          </cell>
        </row>
        <row r="497">
          <cell r="B497">
            <v>205</v>
          </cell>
          <cell r="E497" t="str">
            <v/>
          </cell>
          <cell r="F497" t="str">
            <v/>
          </cell>
          <cell r="G497" t="str">
            <v/>
          </cell>
          <cell r="K497" t="str">
            <v/>
          </cell>
          <cell r="L497" t="str">
            <v/>
          </cell>
          <cell r="N497">
            <v>0</v>
          </cell>
        </row>
        <row r="498">
          <cell r="B498">
            <v>205</v>
          </cell>
          <cell r="E498" t="str">
            <v/>
          </cell>
          <cell r="F498" t="str">
            <v/>
          </cell>
          <cell r="G498" t="str">
            <v/>
          </cell>
          <cell r="K498" t="str">
            <v/>
          </cell>
          <cell r="L498" t="str">
            <v/>
          </cell>
          <cell r="N498">
            <v>0</v>
          </cell>
        </row>
        <row r="499">
          <cell r="B499">
            <v>205</v>
          </cell>
          <cell r="E499" t="str">
            <v/>
          </cell>
          <cell r="F499" t="str">
            <v/>
          </cell>
          <cell r="G499" t="str">
            <v/>
          </cell>
          <cell r="K499" t="str">
            <v/>
          </cell>
          <cell r="L499" t="str">
            <v/>
          </cell>
          <cell r="N499">
            <v>0</v>
          </cell>
        </row>
        <row r="500">
          <cell r="B500">
            <v>205</v>
          </cell>
          <cell r="E500" t="str">
            <v/>
          </cell>
          <cell r="F500" t="str">
            <v/>
          </cell>
          <cell r="G500" t="str">
            <v/>
          </cell>
          <cell r="K500" t="str">
            <v/>
          </cell>
          <cell r="L500" t="str">
            <v/>
          </cell>
          <cell r="N500">
            <v>0</v>
          </cell>
        </row>
        <row r="501">
          <cell r="B501">
            <v>205</v>
          </cell>
          <cell r="E501" t="str">
            <v/>
          </cell>
          <cell r="F501" t="str">
            <v/>
          </cell>
          <cell r="G501" t="str">
            <v/>
          </cell>
          <cell r="K501" t="str">
            <v/>
          </cell>
          <cell r="L501" t="str">
            <v/>
          </cell>
          <cell r="N501">
            <v>0</v>
          </cell>
        </row>
        <row r="502">
          <cell r="B502">
            <v>205</v>
          </cell>
          <cell r="E502" t="str">
            <v/>
          </cell>
          <cell r="F502" t="str">
            <v/>
          </cell>
          <cell r="G502" t="str">
            <v/>
          </cell>
          <cell r="K502" t="str">
            <v/>
          </cell>
          <cell r="L502" t="str">
            <v/>
          </cell>
          <cell r="N502">
            <v>0</v>
          </cell>
        </row>
        <row r="503">
          <cell r="B503">
            <v>205</v>
          </cell>
          <cell r="E503" t="str">
            <v/>
          </cell>
          <cell r="F503" t="str">
            <v/>
          </cell>
          <cell r="G503" t="str">
            <v/>
          </cell>
          <cell r="K503" t="str">
            <v/>
          </cell>
          <cell r="L503" t="str">
            <v/>
          </cell>
          <cell r="N503">
            <v>0</v>
          </cell>
        </row>
        <row r="504">
          <cell r="B504">
            <v>205</v>
          </cell>
          <cell r="E504" t="str">
            <v/>
          </cell>
          <cell r="F504" t="str">
            <v/>
          </cell>
          <cell r="G504" t="str">
            <v/>
          </cell>
          <cell r="K504" t="str">
            <v/>
          </cell>
          <cell r="L504" t="str">
            <v/>
          </cell>
          <cell r="N504">
            <v>0</v>
          </cell>
        </row>
        <row r="505">
          <cell r="B505">
            <v>205</v>
          </cell>
          <cell r="E505" t="str">
            <v/>
          </cell>
          <cell r="F505" t="str">
            <v/>
          </cell>
          <cell r="G505" t="str">
            <v/>
          </cell>
          <cell r="K505" t="str">
            <v/>
          </cell>
          <cell r="L505" t="str">
            <v/>
          </cell>
          <cell r="N505">
            <v>0</v>
          </cell>
        </row>
        <row r="506">
          <cell r="B506">
            <v>205</v>
          </cell>
          <cell r="E506" t="str">
            <v/>
          </cell>
          <cell r="F506" t="str">
            <v/>
          </cell>
          <cell r="G506" t="str">
            <v/>
          </cell>
          <cell r="K506" t="str">
            <v/>
          </cell>
          <cell r="L506" t="str">
            <v/>
          </cell>
          <cell r="N506">
            <v>0</v>
          </cell>
        </row>
        <row r="507">
          <cell r="B507">
            <v>205</v>
          </cell>
          <cell r="E507" t="str">
            <v/>
          </cell>
          <cell r="F507" t="str">
            <v/>
          </cell>
          <cell r="G507" t="str">
            <v/>
          </cell>
          <cell r="K507" t="str">
            <v/>
          </cell>
          <cell r="L507" t="str">
            <v/>
          </cell>
          <cell r="N507">
            <v>0</v>
          </cell>
        </row>
        <row r="508">
          <cell r="B508">
            <v>205</v>
          </cell>
          <cell r="E508" t="str">
            <v/>
          </cell>
          <cell r="F508" t="str">
            <v/>
          </cell>
          <cell r="G508" t="str">
            <v/>
          </cell>
          <cell r="K508" t="str">
            <v/>
          </cell>
          <cell r="L508" t="str">
            <v/>
          </cell>
          <cell r="N508">
            <v>0</v>
          </cell>
        </row>
        <row r="509">
          <cell r="B509">
            <v>205</v>
          </cell>
          <cell r="E509" t="str">
            <v/>
          </cell>
          <cell r="F509" t="str">
            <v/>
          </cell>
          <cell r="G509" t="str">
            <v/>
          </cell>
          <cell r="K509" t="str">
            <v/>
          </cell>
          <cell r="L509" t="str">
            <v/>
          </cell>
          <cell r="N509">
            <v>0</v>
          </cell>
        </row>
        <row r="510">
          <cell r="B510">
            <v>205</v>
          </cell>
          <cell r="E510" t="str">
            <v/>
          </cell>
          <cell r="F510" t="str">
            <v/>
          </cell>
          <cell r="G510" t="str">
            <v/>
          </cell>
          <cell r="K510" t="str">
            <v/>
          </cell>
          <cell r="L510" t="str">
            <v/>
          </cell>
          <cell r="N510">
            <v>0</v>
          </cell>
        </row>
        <row r="511">
          <cell r="B511">
            <v>205</v>
          </cell>
          <cell r="E511" t="str">
            <v/>
          </cell>
          <cell r="F511" t="str">
            <v/>
          </cell>
          <cell r="G511" t="str">
            <v/>
          </cell>
          <cell r="K511" t="str">
            <v/>
          </cell>
          <cell r="L511" t="str">
            <v/>
          </cell>
          <cell r="N511">
            <v>0</v>
          </cell>
        </row>
        <row r="512">
          <cell r="B512">
            <v>205</v>
          </cell>
          <cell r="E512" t="str">
            <v/>
          </cell>
          <cell r="F512" t="str">
            <v/>
          </cell>
          <cell r="G512" t="str">
            <v/>
          </cell>
          <cell r="K512" t="str">
            <v/>
          </cell>
          <cell r="L512" t="str">
            <v/>
          </cell>
          <cell r="N512">
            <v>0</v>
          </cell>
        </row>
        <row r="513">
          <cell r="B513">
            <v>205</v>
          </cell>
          <cell r="E513" t="str">
            <v/>
          </cell>
          <cell r="F513" t="str">
            <v/>
          </cell>
          <cell r="G513" t="str">
            <v/>
          </cell>
          <cell r="K513" t="str">
            <v/>
          </cell>
          <cell r="L513" t="str">
            <v/>
          </cell>
          <cell r="N513">
            <v>0</v>
          </cell>
        </row>
        <row r="514">
          <cell r="B514">
            <v>205</v>
          </cell>
          <cell r="E514" t="str">
            <v/>
          </cell>
          <cell r="F514" t="str">
            <v/>
          </cell>
          <cell r="G514" t="str">
            <v/>
          </cell>
          <cell r="K514" t="str">
            <v/>
          </cell>
          <cell r="L514" t="str">
            <v/>
          </cell>
          <cell r="N514">
            <v>0</v>
          </cell>
        </row>
        <row r="515">
          <cell r="B515">
            <v>205</v>
          </cell>
          <cell r="E515" t="str">
            <v/>
          </cell>
          <cell r="F515" t="str">
            <v/>
          </cell>
          <cell r="G515" t="str">
            <v/>
          </cell>
          <cell r="K515" t="str">
            <v/>
          </cell>
          <cell r="L515" t="str">
            <v/>
          </cell>
          <cell r="N515">
            <v>0</v>
          </cell>
        </row>
        <row r="516">
          <cell r="B516">
            <v>205</v>
          </cell>
          <cell r="E516" t="str">
            <v/>
          </cell>
          <cell r="F516" t="str">
            <v/>
          </cell>
          <cell r="G516" t="str">
            <v/>
          </cell>
          <cell r="K516" t="str">
            <v/>
          </cell>
          <cell r="L516" t="str">
            <v/>
          </cell>
          <cell r="N516">
            <v>0</v>
          </cell>
        </row>
        <row r="517">
          <cell r="B517">
            <v>205</v>
          </cell>
          <cell r="E517" t="str">
            <v/>
          </cell>
          <cell r="F517" t="str">
            <v/>
          </cell>
          <cell r="G517" t="str">
            <v/>
          </cell>
          <cell r="K517" t="str">
            <v/>
          </cell>
          <cell r="L517" t="str">
            <v/>
          </cell>
          <cell r="N517">
            <v>0</v>
          </cell>
        </row>
        <row r="518">
          <cell r="B518">
            <v>205</v>
          </cell>
          <cell r="E518" t="str">
            <v/>
          </cell>
          <cell r="F518" t="str">
            <v/>
          </cell>
          <cell r="G518" t="str">
            <v/>
          </cell>
          <cell r="K518" t="str">
            <v/>
          </cell>
          <cell r="L518" t="str">
            <v/>
          </cell>
          <cell r="N518">
            <v>0</v>
          </cell>
        </row>
        <row r="519">
          <cell r="B519">
            <v>205</v>
          </cell>
          <cell r="E519" t="str">
            <v/>
          </cell>
          <cell r="F519" t="str">
            <v/>
          </cell>
          <cell r="G519" t="str">
            <v/>
          </cell>
          <cell r="K519" t="str">
            <v/>
          </cell>
          <cell r="L519" t="str">
            <v/>
          </cell>
          <cell r="N519">
            <v>0</v>
          </cell>
        </row>
        <row r="520">
          <cell r="B520">
            <v>205</v>
          </cell>
          <cell r="E520" t="str">
            <v/>
          </cell>
          <cell r="F520" t="str">
            <v/>
          </cell>
          <cell r="G520" t="str">
            <v/>
          </cell>
          <cell r="K520" t="str">
            <v/>
          </cell>
          <cell r="L520" t="str">
            <v/>
          </cell>
          <cell r="N520">
            <v>0</v>
          </cell>
        </row>
        <row r="521">
          <cell r="B521">
            <v>205</v>
          </cell>
          <cell r="E521" t="str">
            <v/>
          </cell>
          <cell r="F521" t="str">
            <v/>
          </cell>
          <cell r="G521" t="str">
            <v/>
          </cell>
          <cell r="K521" t="str">
            <v/>
          </cell>
          <cell r="L521" t="str">
            <v/>
          </cell>
          <cell r="N521">
            <v>0</v>
          </cell>
        </row>
        <row r="522">
          <cell r="B522">
            <v>205</v>
          </cell>
          <cell r="E522" t="str">
            <v/>
          </cell>
          <cell r="F522" t="str">
            <v/>
          </cell>
          <cell r="G522" t="str">
            <v/>
          </cell>
          <cell r="K522" t="str">
            <v/>
          </cell>
          <cell r="L522" t="str">
            <v/>
          </cell>
          <cell r="N522">
            <v>0</v>
          </cell>
        </row>
        <row r="523">
          <cell r="B523">
            <v>205</v>
          </cell>
          <cell r="E523" t="str">
            <v/>
          </cell>
          <cell r="F523" t="str">
            <v/>
          </cell>
          <cell r="G523" t="str">
            <v/>
          </cell>
          <cell r="K523" t="str">
            <v/>
          </cell>
          <cell r="L523" t="str">
            <v/>
          </cell>
          <cell r="N523">
            <v>0</v>
          </cell>
        </row>
        <row r="524">
          <cell r="B524">
            <v>205</v>
          </cell>
          <cell r="E524" t="str">
            <v/>
          </cell>
          <cell r="F524" t="str">
            <v/>
          </cell>
          <cell r="G524" t="str">
            <v/>
          </cell>
          <cell r="K524" t="str">
            <v/>
          </cell>
          <cell r="L524" t="str">
            <v/>
          </cell>
          <cell r="N524">
            <v>0</v>
          </cell>
        </row>
        <row r="525">
          <cell r="B525">
            <v>205</v>
          </cell>
          <cell r="E525" t="str">
            <v/>
          </cell>
          <cell r="F525" t="str">
            <v/>
          </cell>
          <cell r="G525" t="str">
            <v/>
          </cell>
          <cell r="K525" t="str">
            <v/>
          </cell>
          <cell r="L525" t="str">
            <v/>
          </cell>
          <cell r="N525">
            <v>0</v>
          </cell>
        </row>
        <row r="526">
          <cell r="B526">
            <v>205</v>
          </cell>
          <cell r="E526" t="str">
            <v/>
          </cell>
          <cell r="F526" t="str">
            <v/>
          </cell>
          <cell r="G526" t="str">
            <v/>
          </cell>
          <cell r="K526" t="str">
            <v/>
          </cell>
          <cell r="L526" t="str">
            <v/>
          </cell>
          <cell r="N526">
            <v>0</v>
          </cell>
        </row>
        <row r="527">
          <cell r="B527">
            <v>205</v>
          </cell>
          <cell r="E527" t="str">
            <v/>
          </cell>
          <cell r="F527" t="str">
            <v/>
          </cell>
          <cell r="G527" t="str">
            <v/>
          </cell>
          <cell r="K527" t="str">
            <v/>
          </cell>
          <cell r="L527" t="str">
            <v/>
          </cell>
          <cell r="N527">
            <v>0</v>
          </cell>
        </row>
        <row r="528">
          <cell r="B528">
            <v>205</v>
          </cell>
          <cell r="E528" t="str">
            <v/>
          </cell>
          <cell r="F528" t="str">
            <v/>
          </cell>
          <cell r="G528" t="str">
            <v/>
          </cell>
          <cell r="K528" t="str">
            <v/>
          </cell>
          <cell r="L528" t="str">
            <v/>
          </cell>
          <cell r="N528">
            <v>0</v>
          </cell>
        </row>
        <row r="529">
          <cell r="B529">
            <v>205</v>
          </cell>
          <cell r="E529" t="str">
            <v/>
          </cell>
          <cell r="F529" t="str">
            <v/>
          </cell>
          <cell r="G529" t="str">
            <v/>
          </cell>
          <cell r="K529" t="str">
            <v/>
          </cell>
          <cell r="L529" t="str">
            <v/>
          </cell>
          <cell r="N529">
            <v>0</v>
          </cell>
        </row>
        <row r="530">
          <cell r="B530">
            <v>205</v>
          </cell>
          <cell r="E530" t="str">
            <v/>
          </cell>
          <cell r="F530" t="str">
            <v/>
          </cell>
          <cell r="G530" t="str">
            <v/>
          </cell>
          <cell r="K530" t="str">
            <v/>
          </cell>
          <cell r="L530" t="str">
            <v/>
          </cell>
          <cell r="N530">
            <v>0</v>
          </cell>
        </row>
        <row r="531">
          <cell r="B531">
            <v>205</v>
          </cell>
          <cell r="E531" t="str">
            <v/>
          </cell>
          <cell r="F531" t="str">
            <v/>
          </cell>
          <cell r="G531" t="str">
            <v/>
          </cell>
          <cell r="K531" t="str">
            <v/>
          </cell>
          <cell r="L531" t="str">
            <v/>
          </cell>
          <cell r="N531">
            <v>0</v>
          </cell>
        </row>
        <row r="532">
          <cell r="B532">
            <v>205</v>
          </cell>
          <cell r="E532" t="str">
            <v/>
          </cell>
          <cell r="F532" t="str">
            <v/>
          </cell>
          <cell r="G532" t="str">
            <v/>
          </cell>
          <cell r="K532" t="str">
            <v/>
          </cell>
          <cell r="L532" t="str">
            <v/>
          </cell>
          <cell r="N532">
            <v>0</v>
          </cell>
        </row>
        <row r="533">
          <cell r="B533">
            <v>205</v>
          </cell>
          <cell r="E533" t="str">
            <v/>
          </cell>
          <cell r="F533" t="str">
            <v/>
          </cell>
          <cell r="G533" t="str">
            <v/>
          </cell>
          <cell r="K533" t="str">
            <v/>
          </cell>
          <cell r="L533" t="str">
            <v/>
          </cell>
          <cell r="N533">
            <v>0</v>
          </cell>
        </row>
        <row r="534">
          <cell r="B534">
            <v>205</v>
          </cell>
          <cell r="E534" t="str">
            <v/>
          </cell>
          <cell r="F534" t="str">
            <v/>
          </cell>
          <cell r="G534" t="str">
            <v/>
          </cell>
          <cell r="K534" t="str">
            <v/>
          </cell>
          <cell r="L534" t="str">
            <v/>
          </cell>
          <cell r="N534">
            <v>0</v>
          </cell>
        </row>
        <row r="535">
          <cell r="B535">
            <v>205</v>
          </cell>
          <cell r="E535" t="str">
            <v/>
          </cell>
          <cell r="F535" t="str">
            <v/>
          </cell>
          <cell r="G535" t="str">
            <v/>
          </cell>
          <cell r="K535" t="str">
            <v/>
          </cell>
          <cell r="L535" t="str">
            <v/>
          </cell>
          <cell r="N535">
            <v>0</v>
          </cell>
        </row>
        <row r="536">
          <cell r="B536">
            <v>205</v>
          </cell>
          <cell r="E536" t="str">
            <v/>
          </cell>
          <cell r="F536" t="str">
            <v/>
          </cell>
          <cell r="G536" t="str">
            <v/>
          </cell>
          <cell r="K536" t="str">
            <v/>
          </cell>
          <cell r="L536" t="str">
            <v/>
          </cell>
          <cell r="N536">
            <v>0</v>
          </cell>
        </row>
        <row r="537">
          <cell r="B537">
            <v>205</v>
          </cell>
          <cell r="E537" t="str">
            <v/>
          </cell>
          <cell r="F537" t="str">
            <v/>
          </cell>
          <cell r="G537" t="str">
            <v/>
          </cell>
          <cell r="K537" t="str">
            <v/>
          </cell>
          <cell r="L537" t="str">
            <v/>
          </cell>
          <cell r="N537">
            <v>0</v>
          </cell>
        </row>
        <row r="538">
          <cell r="B538">
            <v>205</v>
          </cell>
          <cell r="E538" t="str">
            <v/>
          </cell>
          <cell r="F538" t="str">
            <v/>
          </cell>
          <cell r="G538" t="str">
            <v/>
          </cell>
          <cell r="K538" t="str">
            <v/>
          </cell>
          <cell r="L538" t="str">
            <v/>
          </cell>
          <cell r="N538">
            <v>0</v>
          </cell>
        </row>
        <row r="539">
          <cell r="B539">
            <v>205</v>
          </cell>
          <cell r="E539" t="str">
            <v/>
          </cell>
          <cell r="F539" t="str">
            <v/>
          </cell>
          <cell r="G539" t="str">
            <v/>
          </cell>
          <cell r="K539" t="str">
            <v/>
          </cell>
          <cell r="L539" t="str">
            <v/>
          </cell>
          <cell r="N539">
            <v>0</v>
          </cell>
        </row>
        <row r="540">
          <cell r="B540">
            <v>205</v>
          </cell>
          <cell r="E540" t="str">
            <v/>
          </cell>
          <cell r="F540" t="str">
            <v/>
          </cell>
          <cell r="G540" t="str">
            <v/>
          </cell>
          <cell r="K540" t="str">
            <v/>
          </cell>
          <cell r="L540" t="str">
            <v/>
          </cell>
          <cell r="N540">
            <v>0</v>
          </cell>
        </row>
        <row r="541">
          <cell r="B541">
            <v>205</v>
          </cell>
          <cell r="E541" t="str">
            <v/>
          </cell>
          <cell r="F541" t="str">
            <v/>
          </cell>
          <cell r="G541" t="str">
            <v/>
          </cell>
          <cell r="K541" t="str">
            <v/>
          </cell>
          <cell r="L541" t="str">
            <v/>
          </cell>
          <cell r="N541">
            <v>0</v>
          </cell>
        </row>
        <row r="542">
          <cell r="B542">
            <v>205</v>
          </cell>
          <cell r="E542" t="str">
            <v/>
          </cell>
          <cell r="F542" t="str">
            <v/>
          </cell>
          <cell r="G542" t="str">
            <v/>
          </cell>
          <cell r="K542" t="str">
            <v/>
          </cell>
          <cell r="L542" t="str">
            <v/>
          </cell>
          <cell r="N542">
            <v>0</v>
          </cell>
        </row>
        <row r="543">
          <cell r="B543">
            <v>205</v>
          </cell>
          <cell r="E543" t="str">
            <v/>
          </cell>
          <cell r="F543" t="str">
            <v/>
          </cell>
          <cell r="G543" t="str">
            <v/>
          </cell>
          <cell r="K543" t="str">
            <v/>
          </cell>
          <cell r="L543" t="str">
            <v/>
          </cell>
          <cell r="N543">
            <v>0</v>
          </cell>
        </row>
        <row r="544">
          <cell r="B544">
            <v>205</v>
          </cell>
          <cell r="E544" t="str">
            <v/>
          </cell>
          <cell r="F544" t="str">
            <v/>
          </cell>
          <cell r="G544" t="str">
            <v/>
          </cell>
          <cell r="K544" t="str">
            <v/>
          </cell>
          <cell r="L544" t="str">
            <v/>
          </cell>
          <cell r="N544">
            <v>0</v>
          </cell>
        </row>
        <row r="545">
          <cell r="B545">
            <v>205</v>
          </cell>
          <cell r="E545" t="str">
            <v/>
          </cell>
          <cell r="F545" t="str">
            <v/>
          </cell>
          <cell r="G545" t="str">
            <v/>
          </cell>
          <cell r="K545" t="str">
            <v/>
          </cell>
          <cell r="L545" t="str">
            <v/>
          </cell>
          <cell r="N545">
            <v>0</v>
          </cell>
        </row>
        <row r="546">
          <cell r="B546">
            <v>205</v>
          </cell>
          <cell r="E546" t="str">
            <v/>
          </cell>
          <cell r="F546" t="str">
            <v/>
          </cell>
          <cell r="G546" t="str">
            <v/>
          </cell>
          <cell r="K546" t="str">
            <v/>
          </cell>
          <cell r="L546" t="str">
            <v/>
          </cell>
          <cell r="N546">
            <v>0</v>
          </cell>
        </row>
        <row r="547">
          <cell r="B547">
            <v>205</v>
          </cell>
          <cell r="E547" t="str">
            <v/>
          </cell>
          <cell r="F547" t="str">
            <v/>
          </cell>
          <cell r="G547" t="str">
            <v/>
          </cell>
          <cell r="K547" t="str">
            <v/>
          </cell>
          <cell r="L547" t="str">
            <v/>
          </cell>
          <cell r="N547">
            <v>0</v>
          </cell>
        </row>
        <row r="548">
          <cell r="B548">
            <v>205</v>
          </cell>
          <cell r="E548" t="str">
            <v/>
          </cell>
          <cell r="F548" t="str">
            <v/>
          </cell>
          <cell r="G548" t="str">
            <v/>
          </cell>
          <cell r="K548" t="str">
            <v/>
          </cell>
          <cell r="L548" t="str">
            <v/>
          </cell>
          <cell r="N548">
            <v>0</v>
          </cell>
        </row>
        <row r="549">
          <cell r="B549">
            <v>205</v>
          </cell>
          <cell r="E549" t="str">
            <v/>
          </cell>
          <cell r="F549" t="str">
            <v/>
          </cell>
          <cell r="G549" t="str">
            <v/>
          </cell>
          <cell r="K549" t="str">
            <v/>
          </cell>
          <cell r="L549" t="str">
            <v/>
          </cell>
          <cell r="N549">
            <v>0</v>
          </cell>
        </row>
        <row r="550">
          <cell r="B550">
            <v>205</v>
          </cell>
          <cell r="E550" t="str">
            <v/>
          </cell>
          <cell r="F550" t="str">
            <v/>
          </cell>
          <cell r="G550" t="str">
            <v/>
          </cell>
          <cell r="K550" t="str">
            <v/>
          </cell>
          <cell r="L550" t="str">
            <v/>
          </cell>
          <cell r="N550">
            <v>0</v>
          </cell>
        </row>
        <row r="551">
          <cell r="B551">
            <v>205</v>
          </cell>
          <cell r="E551" t="str">
            <v/>
          </cell>
          <cell r="F551" t="str">
            <v/>
          </cell>
          <cell r="G551" t="str">
            <v/>
          </cell>
          <cell r="K551" t="str">
            <v/>
          </cell>
          <cell r="L551" t="str">
            <v/>
          </cell>
          <cell r="N551">
            <v>0</v>
          </cell>
        </row>
        <row r="552">
          <cell r="B552">
            <v>205</v>
          </cell>
          <cell r="E552" t="str">
            <v/>
          </cell>
          <cell r="F552" t="str">
            <v/>
          </cell>
          <cell r="G552" t="str">
            <v/>
          </cell>
          <cell r="K552" t="str">
            <v/>
          </cell>
          <cell r="L552" t="str">
            <v/>
          </cell>
          <cell r="N552">
            <v>0</v>
          </cell>
        </row>
        <row r="553">
          <cell r="B553">
            <v>205</v>
          </cell>
          <cell r="E553" t="str">
            <v/>
          </cell>
          <cell r="F553" t="str">
            <v/>
          </cell>
          <cell r="G553" t="str">
            <v/>
          </cell>
          <cell r="K553" t="str">
            <v/>
          </cell>
          <cell r="L553" t="str">
            <v/>
          </cell>
          <cell r="N553">
            <v>0</v>
          </cell>
        </row>
        <row r="554">
          <cell r="B554">
            <v>205</v>
          </cell>
          <cell r="E554" t="str">
            <v/>
          </cell>
          <cell r="F554" t="str">
            <v/>
          </cell>
          <cell r="G554" t="str">
            <v/>
          </cell>
          <cell r="K554" t="str">
            <v/>
          </cell>
          <cell r="L554" t="str">
            <v/>
          </cell>
          <cell r="N554">
            <v>0</v>
          </cell>
        </row>
        <row r="555">
          <cell r="B555">
            <v>205</v>
          </cell>
          <cell r="E555" t="str">
            <v/>
          </cell>
          <cell r="F555" t="str">
            <v/>
          </cell>
          <cell r="G555" t="str">
            <v/>
          </cell>
          <cell r="K555" t="str">
            <v/>
          </cell>
          <cell r="L555" t="str">
            <v/>
          </cell>
          <cell r="N555">
            <v>0</v>
          </cell>
        </row>
        <row r="556">
          <cell r="B556">
            <v>205</v>
          </cell>
          <cell r="E556" t="str">
            <v/>
          </cell>
          <cell r="F556" t="str">
            <v/>
          </cell>
          <cell r="G556" t="str">
            <v/>
          </cell>
          <cell r="K556" t="str">
            <v/>
          </cell>
          <cell r="L556" t="str">
            <v/>
          </cell>
          <cell r="N556">
            <v>0</v>
          </cell>
        </row>
        <row r="557">
          <cell r="B557">
            <v>205</v>
          </cell>
          <cell r="E557" t="str">
            <v/>
          </cell>
          <cell r="F557" t="str">
            <v/>
          </cell>
          <cell r="G557" t="str">
            <v/>
          </cell>
          <cell r="K557" t="str">
            <v/>
          </cell>
          <cell r="L557" t="str">
            <v/>
          </cell>
          <cell r="N557">
            <v>0</v>
          </cell>
        </row>
        <row r="558">
          <cell r="B558">
            <v>205</v>
          </cell>
          <cell r="E558" t="str">
            <v/>
          </cell>
          <cell r="F558" t="str">
            <v/>
          </cell>
          <cell r="G558" t="str">
            <v/>
          </cell>
          <cell r="K558" t="str">
            <v/>
          </cell>
          <cell r="L558" t="str">
            <v/>
          </cell>
          <cell r="N558">
            <v>0</v>
          </cell>
        </row>
        <row r="559">
          <cell r="B559">
            <v>205</v>
          </cell>
          <cell r="E559" t="str">
            <v/>
          </cell>
          <cell r="F559" t="str">
            <v/>
          </cell>
          <cell r="G559" t="str">
            <v/>
          </cell>
          <cell r="K559" t="str">
            <v/>
          </cell>
          <cell r="L559" t="str">
            <v/>
          </cell>
          <cell r="N559">
            <v>0</v>
          </cell>
        </row>
        <row r="560">
          <cell r="B560">
            <v>205</v>
          </cell>
          <cell r="E560" t="str">
            <v/>
          </cell>
          <cell r="F560" t="str">
            <v/>
          </cell>
          <cell r="G560" t="str">
            <v/>
          </cell>
          <cell r="K560" t="str">
            <v/>
          </cell>
          <cell r="L560" t="str">
            <v/>
          </cell>
          <cell r="N560">
            <v>0</v>
          </cell>
        </row>
        <row r="561">
          <cell r="B561">
            <v>205</v>
          </cell>
          <cell r="E561" t="str">
            <v/>
          </cell>
          <cell r="F561" t="str">
            <v/>
          </cell>
          <cell r="G561" t="str">
            <v/>
          </cell>
          <cell r="K561" t="str">
            <v/>
          </cell>
          <cell r="L561" t="str">
            <v/>
          </cell>
          <cell r="N561">
            <v>0</v>
          </cell>
        </row>
        <row r="562">
          <cell r="B562">
            <v>205</v>
          </cell>
          <cell r="E562" t="str">
            <v/>
          </cell>
          <cell r="F562" t="str">
            <v/>
          </cell>
          <cell r="G562" t="str">
            <v/>
          </cell>
          <cell r="K562" t="str">
            <v/>
          </cell>
          <cell r="L562" t="str">
            <v/>
          </cell>
          <cell r="N562">
            <v>0</v>
          </cell>
        </row>
        <row r="563">
          <cell r="B563">
            <v>205</v>
          </cell>
          <cell r="E563" t="str">
            <v/>
          </cell>
          <cell r="F563" t="str">
            <v/>
          </cell>
          <cell r="G563" t="str">
            <v/>
          </cell>
          <cell r="K563" t="str">
            <v/>
          </cell>
          <cell r="L563" t="str">
            <v/>
          </cell>
          <cell r="N563">
            <v>0</v>
          </cell>
        </row>
        <row r="564">
          <cell r="B564">
            <v>205</v>
          </cell>
          <cell r="E564" t="str">
            <v/>
          </cell>
          <cell r="F564" t="str">
            <v/>
          </cell>
          <cell r="G564" t="str">
            <v/>
          </cell>
          <cell r="K564" t="str">
            <v/>
          </cell>
          <cell r="L564" t="str">
            <v/>
          </cell>
          <cell r="N564">
            <v>0</v>
          </cell>
        </row>
        <row r="565">
          <cell r="B565">
            <v>205</v>
          </cell>
          <cell r="E565" t="str">
            <v/>
          </cell>
          <cell r="F565" t="str">
            <v/>
          </cell>
          <cell r="G565" t="str">
            <v/>
          </cell>
          <cell r="K565" t="str">
            <v/>
          </cell>
          <cell r="L565" t="str">
            <v/>
          </cell>
          <cell r="N565">
            <v>0</v>
          </cell>
        </row>
        <row r="566">
          <cell r="B566">
            <v>205</v>
          </cell>
          <cell r="E566" t="str">
            <v/>
          </cell>
          <cell r="F566" t="str">
            <v/>
          </cell>
          <cell r="G566" t="str">
            <v/>
          </cell>
          <cell r="K566" t="str">
            <v/>
          </cell>
          <cell r="L566" t="str">
            <v/>
          </cell>
          <cell r="N566">
            <v>0</v>
          </cell>
        </row>
        <row r="567">
          <cell r="B567">
            <v>205</v>
          </cell>
          <cell r="E567" t="str">
            <v/>
          </cell>
          <cell r="F567" t="str">
            <v/>
          </cell>
          <cell r="G567" t="str">
            <v/>
          </cell>
          <cell r="K567" t="str">
            <v/>
          </cell>
          <cell r="L567" t="str">
            <v/>
          </cell>
          <cell r="N567">
            <v>0</v>
          </cell>
        </row>
        <row r="568">
          <cell r="B568">
            <v>205</v>
          </cell>
          <cell r="E568" t="str">
            <v/>
          </cell>
          <cell r="F568" t="str">
            <v/>
          </cell>
          <cell r="G568" t="str">
            <v/>
          </cell>
          <cell r="K568" t="str">
            <v/>
          </cell>
          <cell r="L568" t="str">
            <v/>
          </cell>
          <cell r="N568">
            <v>0</v>
          </cell>
        </row>
        <row r="569">
          <cell r="B569">
            <v>205</v>
          </cell>
          <cell r="E569" t="str">
            <v/>
          </cell>
          <cell r="F569" t="str">
            <v/>
          </cell>
          <cell r="G569" t="str">
            <v/>
          </cell>
          <cell r="K569" t="str">
            <v/>
          </cell>
          <cell r="L569" t="str">
            <v/>
          </cell>
          <cell r="N569">
            <v>0</v>
          </cell>
        </row>
        <row r="570">
          <cell r="B570">
            <v>205</v>
          </cell>
          <cell r="E570" t="str">
            <v/>
          </cell>
          <cell r="F570" t="str">
            <v/>
          </cell>
          <cell r="G570" t="str">
            <v/>
          </cell>
          <cell r="K570" t="str">
            <v/>
          </cell>
          <cell r="L570" t="str">
            <v/>
          </cell>
          <cell r="N570">
            <v>0</v>
          </cell>
        </row>
        <row r="571">
          <cell r="B571">
            <v>205</v>
          </cell>
          <cell r="E571" t="str">
            <v/>
          </cell>
          <cell r="F571" t="str">
            <v/>
          </cell>
          <cell r="G571" t="str">
            <v/>
          </cell>
          <cell r="K571" t="str">
            <v/>
          </cell>
          <cell r="L571" t="str">
            <v/>
          </cell>
          <cell r="N571">
            <v>0</v>
          </cell>
        </row>
        <row r="572">
          <cell r="B572">
            <v>205</v>
          </cell>
          <cell r="E572" t="str">
            <v/>
          </cell>
          <cell r="F572" t="str">
            <v/>
          </cell>
          <cell r="G572" t="str">
            <v/>
          </cell>
          <cell r="K572" t="str">
            <v/>
          </cell>
          <cell r="L572" t="str">
            <v/>
          </cell>
          <cell r="N572">
            <v>0</v>
          </cell>
        </row>
        <row r="573">
          <cell r="B573">
            <v>205</v>
          </cell>
          <cell r="E573" t="str">
            <v/>
          </cell>
          <cell r="F573" t="str">
            <v/>
          </cell>
          <cell r="G573" t="str">
            <v/>
          </cell>
          <cell r="K573" t="str">
            <v/>
          </cell>
          <cell r="L573" t="str">
            <v/>
          </cell>
          <cell r="N573">
            <v>0</v>
          </cell>
        </row>
        <row r="574">
          <cell r="B574">
            <v>205</v>
          </cell>
          <cell r="E574" t="str">
            <v/>
          </cell>
          <cell r="F574" t="str">
            <v/>
          </cell>
          <cell r="G574" t="str">
            <v/>
          </cell>
          <cell r="K574" t="str">
            <v/>
          </cell>
          <cell r="L574" t="str">
            <v/>
          </cell>
          <cell r="N574">
            <v>0</v>
          </cell>
        </row>
        <row r="575">
          <cell r="B575">
            <v>205</v>
          </cell>
          <cell r="E575" t="str">
            <v/>
          </cell>
          <cell r="F575" t="str">
            <v/>
          </cell>
          <cell r="G575" t="str">
            <v/>
          </cell>
          <cell r="K575" t="str">
            <v/>
          </cell>
          <cell r="L575" t="str">
            <v/>
          </cell>
          <cell r="N575">
            <v>0</v>
          </cell>
        </row>
        <row r="576">
          <cell r="B576">
            <v>205</v>
          </cell>
          <cell r="E576" t="str">
            <v/>
          </cell>
          <cell r="F576" t="str">
            <v/>
          </cell>
          <cell r="G576" t="str">
            <v/>
          </cell>
          <cell r="K576" t="str">
            <v/>
          </cell>
          <cell r="L576" t="str">
            <v/>
          </cell>
          <cell r="N576">
            <v>0</v>
          </cell>
        </row>
        <row r="577">
          <cell r="B577">
            <v>205</v>
          </cell>
          <cell r="E577" t="str">
            <v/>
          </cell>
          <cell r="F577" t="str">
            <v/>
          </cell>
          <cell r="G577" t="str">
            <v/>
          </cell>
          <cell r="K577" t="str">
            <v/>
          </cell>
          <cell r="L577" t="str">
            <v/>
          </cell>
          <cell r="N577">
            <v>0</v>
          </cell>
        </row>
        <row r="578">
          <cell r="B578">
            <v>205</v>
          </cell>
          <cell r="E578" t="str">
            <v/>
          </cell>
          <cell r="F578" t="str">
            <v/>
          </cell>
          <cell r="G578" t="str">
            <v/>
          </cell>
          <cell r="K578" t="str">
            <v/>
          </cell>
          <cell r="L578" t="str">
            <v/>
          </cell>
          <cell r="N578">
            <v>0</v>
          </cell>
        </row>
        <row r="579">
          <cell r="B579">
            <v>205</v>
          </cell>
          <cell r="E579" t="str">
            <v/>
          </cell>
          <cell r="F579" t="str">
            <v/>
          </cell>
          <cell r="G579" t="str">
            <v/>
          </cell>
          <cell r="K579" t="str">
            <v/>
          </cell>
          <cell r="L579" t="str">
            <v/>
          </cell>
          <cell r="N579">
            <v>0</v>
          </cell>
        </row>
        <row r="580">
          <cell r="B580">
            <v>205</v>
          </cell>
          <cell r="E580" t="str">
            <v/>
          </cell>
          <cell r="F580" t="str">
            <v/>
          </cell>
          <cell r="G580" t="str">
            <v/>
          </cell>
          <cell r="K580" t="str">
            <v/>
          </cell>
          <cell r="L580" t="str">
            <v/>
          </cell>
          <cell r="N580">
            <v>0</v>
          </cell>
        </row>
        <row r="581">
          <cell r="B581">
            <v>205</v>
          </cell>
          <cell r="E581" t="str">
            <v/>
          </cell>
          <cell r="F581" t="str">
            <v/>
          </cell>
          <cell r="G581" t="str">
            <v/>
          </cell>
          <cell r="K581" t="str">
            <v/>
          </cell>
          <cell r="L581" t="str">
            <v/>
          </cell>
          <cell r="N581">
            <v>0</v>
          </cell>
        </row>
        <row r="582">
          <cell r="B582">
            <v>205</v>
          </cell>
          <cell r="E582" t="str">
            <v/>
          </cell>
          <cell r="F582" t="str">
            <v/>
          </cell>
          <cell r="G582" t="str">
            <v/>
          </cell>
          <cell r="K582" t="str">
            <v/>
          </cell>
          <cell r="L582" t="str">
            <v/>
          </cell>
          <cell r="N582">
            <v>0</v>
          </cell>
        </row>
        <row r="583">
          <cell r="B583">
            <v>205</v>
          </cell>
          <cell r="E583" t="str">
            <v/>
          </cell>
          <cell r="F583" t="str">
            <v/>
          </cell>
          <cell r="G583" t="str">
            <v/>
          </cell>
          <cell r="K583" t="str">
            <v/>
          </cell>
          <cell r="L583" t="str">
            <v/>
          </cell>
          <cell r="N583">
            <v>0</v>
          </cell>
        </row>
        <row r="584">
          <cell r="B584">
            <v>205</v>
          </cell>
          <cell r="E584" t="str">
            <v/>
          </cell>
          <cell r="F584" t="str">
            <v/>
          </cell>
          <cell r="G584" t="str">
            <v/>
          </cell>
          <cell r="K584" t="str">
            <v/>
          </cell>
          <cell r="L584" t="str">
            <v/>
          </cell>
          <cell r="N584">
            <v>0</v>
          </cell>
        </row>
        <row r="585">
          <cell r="B585">
            <v>205</v>
          </cell>
          <cell r="E585" t="str">
            <v/>
          </cell>
          <cell r="F585" t="str">
            <v/>
          </cell>
          <cell r="G585" t="str">
            <v/>
          </cell>
          <cell r="K585" t="str">
            <v/>
          </cell>
          <cell r="L585" t="str">
            <v/>
          </cell>
          <cell r="N585">
            <v>0</v>
          </cell>
        </row>
        <row r="586">
          <cell r="B586">
            <v>205</v>
          </cell>
          <cell r="E586" t="str">
            <v/>
          </cell>
          <cell r="F586" t="str">
            <v/>
          </cell>
          <cell r="G586" t="str">
            <v/>
          </cell>
          <cell r="K586" t="str">
            <v/>
          </cell>
          <cell r="L586" t="str">
            <v/>
          </cell>
          <cell r="N586">
            <v>0</v>
          </cell>
        </row>
        <row r="587">
          <cell r="B587">
            <v>205</v>
          </cell>
          <cell r="E587" t="str">
            <v/>
          </cell>
          <cell r="F587" t="str">
            <v/>
          </cell>
          <cell r="G587" t="str">
            <v/>
          </cell>
          <cell r="K587" t="str">
            <v/>
          </cell>
          <cell r="L587" t="str">
            <v/>
          </cell>
          <cell r="N587">
            <v>0</v>
          </cell>
        </row>
        <row r="588">
          <cell r="B588">
            <v>205</v>
          </cell>
          <cell r="E588" t="str">
            <v/>
          </cell>
          <cell r="F588" t="str">
            <v/>
          </cell>
          <cell r="G588" t="str">
            <v/>
          </cell>
          <cell r="K588" t="str">
            <v/>
          </cell>
          <cell r="L588" t="str">
            <v/>
          </cell>
          <cell r="N588">
            <v>0</v>
          </cell>
        </row>
        <row r="589">
          <cell r="B589">
            <v>205</v>
          </cell>
          <cell r="E589" t="str">
            <v/>
          </cell>
          <cell r="F589" t="str">
            <v/>
          </cell>
          <cell r="G589" t="str">
            <v/>
          </cell>
          <cell r="K589" t="str">
            <v/>
          </cell>
          <cell r="L589" t="str">
            <v/>
          </cell>
          <cell r="N589">
            <v>0</v>
          </cell>
        </row>
        <row r="590">
          <cell r="B590">
            <v>205</v>
          </cell>
          <cell r="E590" t="str">
            <v/>
          </cell>
          <cell r="F590" t="str">
            <v/>
          </cell>
          <cell r="G590" t="str">
            <v/>
          </cell>
          <cell r="K590" t="str">
            <v/>
          </cell>
          <cell r="L590" t="str">
            <v/>
          </cell>
          <cell r="N590">
            <v>0</v>
          </cell>
        </row>
        <row r="591">
          <cell r="B591">
            <v>205</v>
          </cell>
          <cell r="E591" t="str">
            <v/>
          </cell>
          <cell r="F591" t="str">
            <v/>
          </cell>
          <cell r="G591" t="str">
            <v/>
          </cell>
          <cell r="K591" t="str">
            <v/>
          </cell>
          <cell r="L591" t="str">
            <v/>
          </cell>
          <cell r="N591">
            <v>0</v>
          </cell>
        </row>
        <row r="592">
          <cell r="B592">
            <v>205</v>
          </cell>
          <cell r="E592" t="str">
            <v/>
          </cell>
          <cell r="F592" t="str">
            <v/>
          </cell>
          <cell r="G592" t="str">
            <v/>
          </cell>
          <cell r="K592" t="str">
            <v/>
          </cell>
          <cell r="L592" t="str">
            <v/>
          </cell>
          <cell r="N592">
            <v>0</v>
          </cell>
        </row>
        <row r="593">
          <cell r="B593">
            <v>205</v>
          </cell>
          <cell r="E593" t="str">
            <v/>
          </cell>
          <cell r="F593" t="str">
            <v/>
          </cell>
          <cell r="G593" t="str">
            <v/>
          </cell>
          <cell r="K593" t="str">
            <v/>
          </cell>
          <cell r="L593" t="str">
            <v/>
          </cell>
          <cell r="N593">
            <v>0</v>
          </cell>
        </row>
        <row r="594">
          <cell r="B594">
            <v>205</v>
          </cell>
          <cell r="E594" t="str">
            <v/>
          </cell>
          <cell r="F594" t="str">
            <v/>
          </cell>
          <cell r="G594" t="str">
            <v/>
          </cell>
          <cell r="K594" t="str">
            <v/>
          </cell>
          <cell r="L594" t="str">
            <v/>
          </cell>
          <cell r="N594">
            <v>0</v>
          </cell>
        </row>
        <row r="595">
          <cell r="B595">
            <v>205</v>
          </cell>
          <cell r="E595" t="str">
            <v/>
          </cell>
          <cell r="F595" t="str">
            <v/>
          </cell>
          <cell r="G595" t="str">
            <v/>
          </cell>
          <cell r="K595" t="str">
            <v/>
          </cell>
          <cell r="L595" t="str">
            <v/>
          </cell>
          <cell r="N595">
            <v>0</v>
          </cell>
        </row>
        <row r="596">
          <cell r="B596">
            <v>205</v>
          </cell>
          <cell r="E596" t="str">
            <v/>
          </cell>
          <cell r="F596" t="str">
            <v/>
          </cell>
          <cell r="G596" t="str">
            <v/>
          </cell>
          <cell r="K596" t="str">
            <v/>
          </cell>
          <cell r="L596" t="str">
            <v/>
          </cell>
          <cell r="N596">
            <v>0</v>
          </cell>
        </row>
        <row r="597">
          <cell r="B597">
            <v>205</v>
          </cell>
          <cell r="E597" t="str">
            <v/>
          </cell>
          <cell r="F597" t="str">
            <v/>
          </cell>
          <cell r="G597" t="str">
            <v/>
          </cell>
          <cell r="K597" t="str">
            <v/>
          </cell>
          <cell r="L597" t="str">
            <v/>
          </cell>
          <cell r="N597">
            <v>0</v>
          </cell>
        </row>
        <row r="598">
          <cell r="B598">
            <v>205</v>
          </cell>
          <cell r="E598" t="str">
            <v/>
          </cell>
          <cell r="F598" t="str">
            <v/>
          </cell>
          <cell r="G598" t="str">
            <v/>
          </cell>
          <cell r="K598" t="str">
            <v/>
          </cell>
          <cell r="L598" t="str">
            <v/>
          </cell>
          <cell r="N598">
            <v>0</v>
          </cell>
        </row>
        <row r="599">
          <cell r="B599">
            <v>205</v>
          </cell>
          <cell r="E599" t="str">
            <v/>
          </cell>
          <cell r="F599" t="str">
            <v/>
          </cell>
          <cell r="G599" t="str">
            <v/>
          </cell>
          <cell r="K599" t="str">
            <v/>
          </cell>
          <cell r="L599" t="str">
            <v/>
          </cell>
          <cell r="N599">
            <v>0</v>
          </cell>
        </row>
        <row r="600">
          <cell r="B600">
            <v>205</v>
          </cell>
          <cell r="E600" t="str">
            <v/>
          </cell>
          <cell r="F600" t="str">
            <v/>
          </cell>
          <cell r="G600" t="str">
            <v/>
          </cell>
          <cell r="K600" t="str">
            <v/>
          </cell>
          <cell r="L600" t="str">
            <v/>
          </cell>
          <cell r="N600">
            <v>0</v>
          </cell>
        </row>
        <row r="601">
          <cell r="B601">
            <v>205</v>
          </cell>
          <cell r="E601" t="str">
            <v/>
          </cell>
          <cell r="F601" t="str">
            <v/>
          </cell>
          <cell r="G601" t="str">
            <v/>
          </cell>
          <cell r="K601" t="str">
            <v/>
          </cell>
          <cell r="L601" t="str">
            <v/>
          </cell>
          <cell r="N601">
            <v>0</v>
          </cell>
        </row>
        <row r="602">
          <cell r="B602">
            <v>205</v>
          </cell>
          <cell r="E602" t="str">
            <v/>
          </cell>
          <cell r="F602" t="str">
            <v/>
          </cell>
          <cell r="G602" t="str">
            <v/>
          </cell>
          <cell r="K602" t="str">
            <v/>
          </cell>
          <cell r="L602" t="str">
            <v/>
          </cell>
          <cell r="N602">
            <v>0</v>
          </cell>
        </row>
        <row r="603">
          <cell r="B603">
            <v>205</v>
          </cell>
          <cell r="E603" t="str">
            <v/>
          </cell>
          <cell r="F603" t="str">
            <v/>
          </cell>
          <cell r="G603" t="str">
            <v/>
          </cell>
          <cell r="K603" t="str">
            <v/>
          </cell>
          <cell r="L603" t="str">
            <v/>
          </cell>
          <cell r="N603">
            <v>0</v>
          </cell>
        </row>
        <row r="604">
          <cell r="B604">
            <v>205</v>
          </cell>
          <cell r="E604" t="str">
            <v/>
          </cell>
          <cell r="F604" t="str">
            <v/>
          </cell>
          <cell r="G604" t="str">
            <v/>
          </cell>
          <cell r="K604" t="str">
            <v/>
          </cell>
          <cell r="L604" t="str">
            <v/>
          </cell>
          <cell r="N604">
            <v>0</v>
          </cell>
        </row>
        <row r="605">
          <cell r="B605">
            <v>205</v>
          </cell>
          <cell r="E605" t="str">
            <v/>
          </cell>
          <cell r="F605" t="str">
            <v/>
          </cell>
          <cell r="G605" t="str">
            <v/>
          </cell>
          <cell r="K605" t="str">
            <v/>
          </cell>
          <cell r="L605" t="str">
            <v/>
          </cell>
          <cell r="N605">
            <v>0</v>
          </cell>
        </row>
        <row r="606">
          <cell r="B606">
            <v>205</v>
          </cell>
          <cell r="E606" t="str">
            <v/>
          </cell>
          <cell r="F606" t="str">
            <v/>
          </cell>
          <cell r="G606" t="str">
            <v/>
          </cell>
          <cell r="K606" t="str">
            <v/>
          </cell>
          <cell r="L606" t="str">
            <v/>
          </cell>
          <cell r="N606">
            <v>0</v>
          </cell>
        </row>
        <row r="607">
          <cell r="B607">
            <v>205</v>
          </cell>
          <cell r="E607" t="str">
            <v/>
          </cell>
          <cell r="F607" t="str">
            <v/>
          </cell>
          <cell r="G607" t="str">
            <v/>
          </cell>
          <cell r="K607" t="str">
            <v/>
          </cell>
          <cell r="L607" t="str">
            <v/>
          </cell>
          <cell r="N607">
            <v>0</v>
          </cell>
        </row>
        <row r="608">
          <cell r="B608">
            <v>205</v>
          </cell>
          <cell r="E608" t="str">
            <v/>
          </cell>
          <cell r="F608" t="str">
            <v/>
          </cell>
          <cell r="G608" t="str">
            <v/>
          </cell>
          <cell r="K608" t="str">
            <v/>
          </cell>
          <cell r="L608" t="str">
            <v/>
          </cell>
          <cell r="N608">
            <v>0</v>
          </cell>
        </row>
        <row r="609">
          <cell r="B609">
            <v>205</v>
          </cell>
          <cell r="E609" t="str">
            <v/>
          </cell>
          <cell r="F609" t="str">
            <v/>
          </cell>
          <cell r="G609" t="str">
            <v/>
          </cell>
          <cell r="K609" t="str">
            <v/>
          </cell>
          <cell r="L609" t="str">
            <v/>
          </cell>
          <cell r="N609">
            <v>0</v>
          </cell>
        </row>
        <row r="610">
          <cell r="B610">
            <v>205</v>
          </cell>
          <cell r="E610" t="str">
            <v/>
          </cell>
          <cell r="F610" t="str">
            <v/>
          </cell>
          <cell r="G610" t="str">
            <v/>
          </cell>
          <cell r="K610" t="str">
            <v/>
          </cell>
          <cell r="L610" t="str">
            <v/>
          </cell>
          <cell r="N610">
            <v>0</v>
          </cell>
        </row>
        <row r="611">
          <cell r="B611">
            <v>205</v>
          </cell>
          <cell r="E611" t="str">
            <v/>
          </cell>
          <cell r="F611" t="str">
            <v/>
          </cell>
          <cell r="G611" t="str">
            <v/>
          </cell>
          <cell r="K611" t="str">
            <v/>
          </cell>
          <cell r="L611" t="str">
            <v/>
          </cell>
          <cell r="N611">
            <v>0</v>
          </cell>
        </row>
        <row r="612">
          <cell r="B612">
            <v>205</v>
          </cell>
          <cell r="E612" t="str">
            <v/>
          </cell>
          <cell r="F612" t="str">
            <v/>
          </cell>
          <cell r="G612" t="str">
            <v/>
          </cell>
          <cell r="K612" t="str">
            <v/>
          </cell>
          <cell r="L612" t="str">
            <v/>
          </cell>
          <cell r="N612">
            <v>0</v>
          </cell>
        </row>
        <row r="613">
          <cell r="B613">
            <v>205</v>
          </cell>
          <cell r="E613" t="str">
            <v/>
          </cell>
          <cell r="F613" t="str">
            <v/>
          </cell>
          <cell r="G613" t="str">
            <v/>
          </cell>
          <cell r="K613" t="str">
            <v/>
          </cell>
          <cell r="L613" t="str">
            <v/>
          </cell>
          <cell r="N613">
            <v>0</v>
          </cell>
        </row>
        <row r="614">
          <cell r="B614">
            <v>205</v>
          </cell>
          <cell r="E614" t="str">
            <v/>
          </cell>
          <cell r="F614" t="str">
            <v/>
          </cell>
          <cell r="G614" t="str">
            <v/>
          </cell>
          <cell r="K614" t="str">
            <v/>
          </cell>
          <cell r="L614" t="str">
            <v/>
          </cell>
          <cell r="N614">
            <v>0</v>
          </cell>
        </row>
        <row r="615">
          <cell r="B615">
            <v>205</v>
          </cell>
          <cell r="E615" t="str">
            <v/>
          </cell>
          <cell r="F615" t="str">
            <v/>
          </cell>
          <cell r="G615" t="str">
            <v/>
          </cell>
          <cell r="K615" t="str">
            <v/>
          </cell>
          <cell r="L615" t="str">
            <v/>
          </cell>
          <cell r="N615">
            <v>0</v>
          </cell>
        </row>
        <row r="616">
          <cell r="B616">
            <v>205</v>
          </cell>
          <cell r="E616" t="str">
            <v/>
          </cell>
          <cell r="F616" t="str">
            <v/>
          </cell>
          <cell r="G616" t="str">
            <v/>
          </cell>
          <cell r="K616" t="str">
            <v/>
          </cell>
          <cell r="L616" t="str">
            <v/>
          </cell>
          <cell r="N616">
            <v>0</v>
          </cell>
        </row>
        <row r="617">
          <cell r="B617">
            <v>205</v>
          </cell>
          <cell r="E617" t="str">
            <v/>
          </cell>
          <cell r="F617" t="str">
            <v/>
          </cell>
          <cell r="G617" t="str">
            <v/>
          </cell>
          <cell r="K617" t="str">
            <v/>
          </cell>
          <cell r="L617" t="str">
            <v/>
          </cell>
          <cell r="N617">
            <v>0</v>
          </cell>
        </row>
        <row r="618">
          <cell r="B618">
            <v>205</v>
          </cell>
          <cell r="E618" t="str">
            <v/>
          </cell>
          <cell r="F618" t="str">
            <v/>
          </cell>
          <cell r="G618" t="str">
            <v/>
          </cell>
          <cell r="K618" t="str">
            <v/>
          </cell>
          <cell r="L618" t="str">
            <v/>
          </cell>
          <cell r="N618">
            <v>0</v>
          </cell>
        </row>
        <row r="619">
          <cell r="B619">
            <v>205</v>
          </cell>
          <cell r="E619" t="str">
            <v/>
          </cell>
          <cell r="F619" t="str">
            <v/>
          </cell>
          <cell r="G619" t="str">
            <v/>
          </cell>
          <cell r="K619" t="str">
            <v/>
          </cell>
          <cell r="L619" t="str">
            <v/>
          </cell>
          <cell r="N619">
            <v>0</v>
          </cell>
        </row>
        <row r="620">
          <cell r="B620">
            <v>205</v>
          </cell>
          <cell r="E620" t="str">
            <v/>
          </cell>
          <cell r="F620" t="str">
            <v/>
          </cell>
          <cell r="G620" t="str">
            <v/>
          </cell>
          <cell r="K620" t="str">
            <v/>
          </cell>
          <cell r="L620" t="str">
            <v/>
          </cell>
          <cell r="N620">
            <v>0</v>
          </cell>
        </row>
        <row r="621">
          <cell r="B621">
            <v>205</v>
          </cell>
          <cell r="E621" t="str">
            <v/>
          </cell>
          <cell r="F621" t="str">
            <v/>
          </cell>
          <cell r="G621" t="str">
            <v/>
          </cell>
          <cell r="K621" t="str">
            <v/>
          </cell>
          <cell r="L621" t="str">
            <v/>
          </cell>
          <cell r="N621">
            <v>0</v>
          </cell>
        </row>
        <row r="622">
          <cell r="B622">
            <v>205</v>
          </cell>
          <cell r="E622" t="str">
            <v/>
          </cell>
          <cell r="F622" t="str">
            <v/>
          </cell>
          <cell r="G622" t="str">
            <v/>
          </cell>
          <cell r="K622" t="str">
            <v/>
          </cell>
          <cell r="L622" t="str">
            <v/>
          </cell>
          <cell r="N622">
            <v>0</v>
          </cell>
        </row>
        <row r="623">
          <cell r="B623">
            <v>205</v>
          </cell>
          <cell r="E623" t="str">
            <v/>
          </cell>
          <cell r="F623" t="str">
            <v/>
          </cell>
          <cell r="G623" t="str">
            <v/>
          </cell>
          <cell r="K623" t="str">
            <v/>
          </cell>
          <cell r="L623" t="str">
            <v/>
          </cell>
          <cell r="N623">
            <v>0</v>
          </cell>
        </row>
        <row r="624">
          <cell r="B624">
            <v>205</v>
          </cell>
          <cell r="E624" t="str">
            <v/>
          </cell>
          <cell r="F624" t="str">
            <v/>
          </cell>
          <cell r="G624" t="str">
            <v/>
          </cell>
          <cell r="K624" t="str">
            <v/>
          </cell>
          <cell r="L624" t="str">
            <v/>
          </cell>
          <cell r="N624">
            <v>0</v>
          </cell>
        </row>
        <row r="625">
          <cell r="B625">
            <v>205</v>
          </cell>
          <cell r="E625" t="str">
            <v/>
          </cell>
          <cell r="F625" t="str">
            <v/>
          </cell>
          <cell r="G625" t="str">
            <v/>
          </cell>
          <cell r="K625" t="str">
            <v/>
          </cell>
          <cell r="L625" t="str">
            <v/>
          </cell>
          <cell r="N625">
            <v>0</v>
          </cell>
        </row>
        <row r="626">
          <cell r="B626">
            <v>205</v>
          </cell>
          <cell r="E626" t="str">
            <v/>
          </cell>
          <cell r="F626" t="str">
            <v/>
          </cell>
          <cell r="G626" t="str">
            <v/>
          </cell>
          <cell r="K626" t="str">
            <v/>
          </cell>
          <cell r="L626" t="str">
            <v/>
          </cell>
          <cell r="N626">
            <v>0</v>
          </cell>
        </row>
        <row r="627">
          <cell r="B627">
            <v>205</v>
          </cell>
          <cell r="E627" t="str">
            <v/>
          </cell>
          <cell r="F627" t="str">
            <v/>
          </cell>
          <cell r="G627" t="str">
            <v/>
          </cell>
          <cell r="K627" t="str">
            <v/>
          </cell>
          <cell r="L627" t="str">
            <v/>
          </cell>
          <cell r="N627">
            <v>0</v>
          </cell>
        </row>
        <row r="628">
          <cell r="B628">
            <v>205</v>
          </cell>
          <cell r="E628" t="str">
            <v/>
          </cell>
          <cell r="F628" t="str">
            <v/>
          </cell>
          <cell r="G628" t="str">
            <v/>
          </cell>
          <cell r="K628" t="str">
            <v/>
          </cell>
          <cell r="L628" t="str">
            <v/>
          </cell>
          <cell r="N628">
            <v>0</v>
          </cell>
        </row>
        <row r="629">
          <cell r="B629">
            <v>205</v>
          </cell>
          <cell r="E629" t="str">
            <v/>
          </cell>
          <cell r="F629" t="str">
            <v/>
          </cell>
          <cell r="G629" t="str">
            <v/>
          </cell>
          <cell r="K629" t="str">
            <v/>
          </cell>
          <cell r="L629" t="str">
            <v/>
          </cell>
          <cell r="N629">
            <v>0</v>
          </cell>
        </row>
        <row r="630">
          <cell r="B630">
            <v>205</v>
          </cell>
          <cell r="E630" t="str">
            <v/>
          </cell>
          <cell r="F630" t="str">
            <v/>
          </cell>
          <cell r="G630" t="str">
            <v/>
          </cell>
          <cell r="K630" t="str">
            <v/>
          </cell>
          <cell r="L630" t="str">
            <v/>
          </cell>
          <cell r="N630">
            <v>0</v>
          </cell>
        </row>
        <row r="631">
          <cell r="B631">
            <v>205</v>
          </cell>
          <cell r="E631" t="str">
            <v/>
          </cell>
          <cell r="F631" t="str">
            <v/>
          </cell>
          <cell r="G631" t="str">
            <v/>
          </cell>
          <cell r="K631" t="str">
            <v/>
          </cell>
          <cell r="L631" t="str">
            <v/>
          </cell>
          <cell r="N631">
            <v>0</v>
          </cell>
        </row>
        <row r="632">
          <cell r="B632">
            <v>205</v>
          </cell>
          <cell r="E632" t="str">
            <v/>
          </cell>
          <cell r="F632" t="str">
            <v/>
          </cell>
          <cell r="G632" t="str">
            <v/>
          </cell>
          <cell r="K632" t="str">
            <v/>
          </cell>
          <cell r="L632" t="str">
            <v/>
          </cell>
          <cell r="N632">
            <v>0</v>
          </cell>
        </row>
        <row r="633">
          <cell r="B633">
            <v>205</v>
          </cell>
          <cell r="E633" t="str">
            <v/>
          </cell>
          <cell r="F633" t="str">
            <v/>
          </cell>
          <cell r="G633" t="str">
            <v/>
          </cell>
          <cell r="K633" t="str">
            <v/>
          </cell>
          <cell r="L633" t="str">
            <v/>
          </cell>
          <cell r="N633">
            <v>0</v>
          </cell>
        </row>
        <row r="634">
          <cell r="B634">
            <v>205</v>
          </cell>
          <cell r="E634" t="str">
            <v/>
          </cell>
          <cell r="F634" t="str">
            <v/>
          </cell>
          <cell r="G634" t="str">
            <v/>
          </cell>
          <cell r="K634" t="str">
            <v/>
          </cell>
          <cell r="L634" t="str">
            <v/>
          </cell>
          <cell r="N634">
            <v>0</v>
          </cell>
        </row>
        <row r="635">
          <cell r="B635">
            <v>205</v>
          </cell>
          <cell r="E635" t="str">
            <v/>
          </cell>
          <cell r="F635" t="str">
            <v/>
          </cell>
          <cell r="G635" t="str">
            <v/>
          </cell>
          <cell r="K635" t="str">
            <v/>
          </cell>
          <cell r="L635" t="str">
            <v/>
          </cell>
          <cell r="N635">
            <v>0</v>
          </cell>
        </row>
        <row r="636">
          <cell r="B636">
            <v>205</v>
          </cell>
          <cell r="E636" t="str">
            <v/>
          </cell>
          <cell r="F636" t="str">
            <v/>
          </cell>
          <cell r="G636" t="str">
            <v/>
          </cell>
          <cell r="K636" t="str">
            <v/>
          </cell>
          <cell r="L636" t="str">
            <v/>
          </cell>
          <cell r="N636">
            <v>0</v>
          </cell>
        </row>
        <row r="637">
          <cell r="B637">
            <v>205</v>
          </cell>
          <cell r="E637" t="str">
            <v/>
          </cell>
          <cell r="F637" t="str">
            <v/>
          </cell>
          <cell r="G637" t="str">
            <v/>
          </cell>
          <cell r="K637" t="str">
            <v/>
          </cell>
          <cell r="L637" t="str">
            <v/>
          </cell>
          <cell r="N637">
            <v>0</v>
          </cell>
        </row>
        <row r="638">
          <cell r="B638">
            <v>205</v>
          </cell>
          <cell r="E638" t="str">
            <v/>
          </cell>
          <cell r="F638" t="str">
            <v/>
          </cell>
          <cell r="G638" t="str">
            <v/>
          </cell>
          <cell r="K638" t="str">
            <v/>
          </cell>
          <cell r="L638" t="str">
            <v/>
          </cell>
          <cell r="N638">
            <v>0</v>
          </cell>
        </row>
        <row r="639">
          <cell r="B639">
            <v>205</v>
          </cell>
          <cell r="E639" t="str">
            <v/>
          </cell>
          <cell r="F639" t="str">
            <v/>
          </cell>
          <cell r="G639" t="str">
            <v/>
          </cell>
          <cell r="K639" t="str">
            <v/>
          </cell>
          <cell r="L639" t="str">
            <v/>
          </cell>
          <cell r="N639">
            <v>0</v>
          </cell>
        </row>
        <row r="640">
          <cell r="B640">
            <v>205</v>
          </cell>
          <cell r="E640" t="str">
            <v/>
          </cell>
          <cell r="F640" t="str">
            <v/>
          </cell>
          <cell r="G640" t="str">
            <v/>
          </cell>
          <cell r="K640" t="str">
            <v/>
          </cell>
          <cell r="L640" t="str">
            <v/>
          </cell>
          <cell r="N640">
            <v>0</v>
          </cell>
        </row>
        <row r="641">
          <cell r="B641">
            <v>205</v>
          </cell>
          <cell r="E641" t="str">
            <v/>
          </cell>
          <cell r="F641" t="str">
            <v/>
          </cell>
          <cell r="G641" t="str">
            <v/>
          </cell>
          <cell r="K641" t="str">
            <v/>
          </cell>
          <cell r="L641" t="str">
            <v/>
          </cell>
          <cell r="N641">
            <v>0</v>
          </cell>
        </row>
        <row r="642">
          <cell r="B642">
            <v>205</v>
          </cell>
          <cell r="E642" t="str">
            <v/>
          </cell>
          <cell r="F642" t="str">
            <v/>
          </cell>
          <cell r="G642" t="str">
            <v/>
          </cell>
          <cell r="K642" t="str">
            <v/>
          </cell>
          <cell r="L642" t="str">
            <v/>
          </cell>
          <cell r="N642">
            <v>0</v>
          </cell>
        </row>
        <row r="643">
          <cell r="B643">
            <v>205</v>
          </cell>
          <cell r="E643" t="str">
            <v/>
          </cell>
          <cell r="F643" t="str">
            <v/>
          </cell>
          <cell r="G643" t="str">
            <v/>
          </cell>
          <cell r="K643" t="str">
            <v/>
          </cell>
          <cell r="L643" t="str">
            <v/>
          </cell>
          <cell r="N643">
            <v>0</v>
          </cell>
        </row>
        <row r="644">
          <cell r="B644">
            <v>205</v>
          </cell>
          <cell r="E644" t="str">
            <v/>
          </cell>
          <cell r="F644" t="str">
            <v/>
          </cell>
          <cell r="G644" t="str">
            <v/>
          </cell>
          <cell r="K644" t="str">
            <v/>
          </cell>
          <cell r="L644" t="str">
            <v/>
          </cell>
          <cell r="N644">
            <v>0</v>
          </cell>
        </row>
        <row r="645">
          <cell r="B645">
            <v>205</v>
          </cell>
          <cell r="E645" t="str">
            <v/>
          </cell>
          <cell r="F645" t="str">
            <v/>
          </cell>
          <cell r="G645" t="str">
            <v/>
          </cell>
          <cell r="K645" t="str">
            <v/>
          </cell>
          <cell r="L645" t="str">
            <v/>
          </cell>
          <cell r="N645">
            <v>0</v>
          </cell>
        </row>
        <row r="646">
          <cell r="B646">
            <v>205</v>
          </cell>
          <cell r="E646" t="str">
            <v/>
          </cell>
          <cell r="F646" t="str">
            <v/>
          </cell>
          <cell r="G646" t="str">
            <v/>
          </cell>
          <cell r="K646" t="str">
            <v/>
          </cell>
          <cell r="L646" t="str">
            <v/>
          </cell>
          <cell r="N646">
            <v>0</v>
          </cell>
        </row>
        <row r="647">
          <cell r="B647">
            <v>205</v>
          </cell>
          <cell r="E647" t="str">
            <v/>
          </cell>
          <cell r="F647" t="str">
            <v/>
          </cell>
          <cell r="G647" t="str">
            <v/>
          </cell>
          <cell r="K647" t="str">
            <v/>
          </cell>
          <cell r="L647" t="str">
            <v/>
          </cell>
          <cell r="N647">
            <v>0</v>
          </cell>
        </row>
        <row r="648">
          <cell r="B648">
            <v>205</v>
          </cell>
          <cell r="E648" t="str">
            <v/>
          </cell>
          <cell r="F648" t="str">
            <v/>
          </cell>
          <cell r="G648" t="str">
            <v/>
          </cell>
          <cell r="K648" t="str">
            <v/>
          </cell>
          <cell r="L648" t="str">
            <v/>
          </cell>
          <cell r="N648">
            <v>0</v>
          </cell>
        </row>
        <row r="649">
          <cell r="B649">
            <v>205</v>
          </cell>
          <cell r="E649" t="str">
            <v/>
          </cell>
          <cell r="F649" t="str">
            <v/>
          </cell>
          <cell r="G649" t="str">
            <v/>
          </cell>
          <cell r="K649" t="str">
            <v/>
          </cell>
          <cell r="L649" t="str">
            <v/>
          </cell>
          <cell r="N649">
            <v>0</v>
          </cell>
        </row>
        <row r="650">
          <cell r="B650">
            <v>205</v>
          </cell>
          <cell r="E650" t="str">
            <v/>
          </cell>
          <cell r="F650" t="str">
            <v/>
          </cell>
          <cell r="G650" t="str">
            <v/>
          </cell>
          <cell r="K650" t="str">
            <v/>
          </cell>
          <cell r="L650" t="str">
            <v/>
          </cell>
          <cell r="N650">
            <v>0</v>
          </cell>
        </row>
        <row r="651">
          <cell r="B651">
            <v>205</v>
          </cell>
          <cell r="E651" t="str">
            <v/>
          </cell>
          <cell r="F651" t="str">
            <v/>
          </cell>
          <cell r="G651" t="str">
            <v/>
          </cell>
          <cell r="K651" t="str">
            <v/>
          </cell>
          <cell r="L651" t="str">
            <v/>
          </cell>
          <cell r="N651">
            <v>0</v>
          </cell>
        </row>
        <row r="652">
          <cell r="B652">
            <v>205</v>
          </cell>
          <cell r="E652" t="str">
            <v/>
          </cell>
          <cell r="F652" t="str">
            <v/>
          </cell>
          <cell r="G652" t="str">
            <v/>
          </cell>
          <cell r="K652" t="str">
            <v/>
          </cell>
          <cell r="L652" t="str">
            <v/>
          </cell>
          <cell r="N652">
            <v>0</v>
          </cell>
        </row>
        <row r="653">
          <cell r="B653">
            <v>205</v>
          </cell>
          <cell r="E653" t="str">
            <v/>
          </cell>
          <cell r="F653" t="str">
            <v/>
          </cell>
          <cell r="G653" t="str">
            <v/>
          </cell>
          <cell r="K653" t="str">
            <v/>
          </cell>
          <cell r="L653" t="str">
            <v/>
          </cell>
          <cell r="N653">
            <v>0</v>
          </cell>
        </row>
        <row r="654">
          <cell r="B654">
            <v>205</v>
          </cell>
          <cell r="E654" t="str">
            <v/>
          </cell>
          <cell r="F654" t="str">
            <v/>
          </cell>
          <cell r="G654" t="str">
            <v/>
          </cell>
          <cell r="K654" t="str">
            <v/>
          </cell>
          <cell r="L654" t="str">
            <v/>
          </cell>
          <cell r="N654">
            <v>0</v>
          </cell>
        </row>
        <row r="655">
          <cell r="B655">
            <v>205</v>
          </cell>
          <cell r="E655" t="str">
            <v/>
          </cell>
          <cell r="F655" t="str">
            <v/>
          </cell>
          <cell r="G655" t="str">
            <v/>
          </cell>
          <cell r="K655" t="str">
            <v/>
          </cell>
          <cell r="L655" t="str">
            <v/>
          </cell>
          <cell r="N655">
            <v>0</v>
          </cell>
        </row>
        <row r="656">
          <cell r="B656">
            <v>205</v>
          </cell>
          <cell r="E656" t="str">
            <v/>
          </cell>
          <cell r="F656" t="str">
            <v/>
          </cell>
          <cell r="G656" t="str">
            <v/>
          </cell>
          <cell r="K656" t="str">
            <v/>
          </cell>
          <cell r="L656" t="str">
            <v/>
          </cell>
          <cell r="N656">
            <v>0</v>
          </cell>
        </row>
        <row r="657">
          <cell r="B657">
            <v>205</v>
          </cell>
          <cell r="E657" t="str">
            <v/>
          </cell>
          <cell r="F657" t="str">
            <v/>
          </cell>
          <cell r="G657" t="str">
            <v/>
          </cell>
          <cell r="K657" t="str">
            <v/>
          </cell>
          <cell r="L657" t="str">
            <v/>
          </cell>
          <cell r="N657">
            <v>0</v>
          </cell>
        </row>
        <row r="658">
          <cell r="B658">
            <v>205</v>
          </cell>
          <cell r="E658" t="str">
            <v/>
          </cell>
          <cell r="F658" t="str">
            <v/>
          </cell>
          <cell r="G658" t="str">
            <v/>
          </cell>
          <cell r="K658" t="str">
            <v/>
          </cell>
          <cell r="L658" t="str">
            <v/>
          </cell>
          <cell r="N658">
            <v>0</v>
          </cell>
        </row>
        <row r="659">
          <cell r="B659">
            <v>205</v>
          </cell>
          <cell r="E659" t="str">
            <v/>
          </cell>
          <cell r="F659" t="str">
            <v/>
          </cell>
          <cell r="G659" t="str">
            <v/>
          </cell>
          <cell r="K659" t="str">
            <v/>
          </cell>
          <cell r="L659" t="str">
            <v/>
          </cell>
          <cell r="N659">
            <v>0</v>
          </cell>
        </row>
        <row r="660">
          <cell r="B660">
            <v>205</v>
          </cell>
          <cell r="E660" t="str">
            <v/>
          </cell>
          <cell r="F660" t="str">
            <v/>
          </cell>
          <cell r="G660" t="str">
            <v/>
          </cell>
          <cell r="K660" t="str">
            <v/>
          </cell>
          <cell r="L660" t="str">
            <v/>
          </cell>
          <cell r="N660">
            <v>0</v>
          </cell>
        </row>
        <row r="661">
          <cell r="B661">
            <v>205</v>
          </cell>
          <cell r="E661" t="str">
            <v/>
          </cell>
          <cell r="F661" t="str">
            <v/>
          </cell>
          <cell r="G661" t="str">
            <v/>
          </cell>
          <cell r="K661" t="str">
            <v/>
          </cell>
          <cell r="L661" t="str">
            <v/>
          </cell>
          <cell r="N661">
            <v>0</v>
          </cell>
        </row>
        <row r="662">
          <cell r="B662">
            <v>205</v>
          </cell>
          <cell r="E662" t="str">
            <v/>
          </cell>
          <cell r="F662" t="str">
            <v/>
          </cell>
          <cell r="G662" t="str">
            <v/>
          </cell>
          <cell r="K662" t="str">
            <v/>
          </cell>
          <cell r="L662" t="str">
            <v/>
          </cell>
          <cell r="N662">
            <v>0</v>
          </cell>
        </row>
        <row r="663">
          <cell r="B663">
            <v>205</v>
          </cell>
          <cell r="E663" t="str">
            <v/>
          </cell>
          <cell r="F663" t="str">
            <v/>
          </cell>
          <cell r="G663" t="str">
            <v/>
          </cell>
          <cell r="K663" t="str">
            <v/>
          </cell>
          <cell r="L663" t="str">
            <v/>
          </cell>
          <cell r="N663">
            <v>0</v>
          </cell>
        </row>
        <row r="664">
          <cell r="B664">
            <v>205</v>
          </cell>
          <cell r="E664" t="str">
            <v/>
          </cell>
          <cell r="F664" t="str">
            <v/>
          </cell>
          <cell r="G664" t="str">
            <v/>
          </cell>
          <cell r="K664" t="str">
            <v/>
          </cell>
          <cell r="L664" t="str">
            <v/>
          </cell>
          <cell r="N664">
            <v>0</v>
          </cell>
        </row>
        <row r="665">
          <cell r="B665">
            <v>205</v>
          </cell>
          <cell r="E665" t="str">
            <v/>
          </cell>
          <cell r="F665" t="str">
            <v/>
          </cell>
          <cell r="G665" t="str">
            <v/>
          </cell>
          <cell r="K665" t="str">
            <v/>
          </cell>
          <cell r="L665" t="str">
            <v/>
          </cell>
          <cell r="N665">
            <v>0</v>
          </cell>
        </row>
        <row r="666">
          <cell r="B666">
            <v>205</v>
          </cell>
          <cell r="E666" t="str">
            <v/>
          </cell>
          <cell r="F666" t="str">
            <v/>
          </cell>
          <cell r="G666" t="str">
            <v/>
          </cell>
          <cell r="K666" t="str">
            <v/>
          </cell>
          <cell r="L666" t="str">
            <v/>
          </cell>
          <cell r="N666">
            <v>0</v>
          </cell>
        </row>
        <row r="667">
          <cell r="B667">
            <v>205</v>
          </cell>
          <cell r="E667" t="str">
            <v/>
          </cell>
          <cell r="F667" t="str">
            <v/>
          </cell>
          <cell r="G667" t="str">
            <v/>
          </cell>
          <cell r="K667" t="str">
            <v/>
          </cell>
          <cell r="L667" t="str">
            <v/>
          </cell>
          <cell r="N667">
            <v>0</v>
          </cell>
        </row>
        <row r="668">
          <cell r="B668">
            <v>205</v>
          </cell>
          <cell r="E668" t="str">
            <v/>
          </cell>
          <cell r="F668" t="str">
            <v/>
          </cell>
          <cell r="G668" t="str">
            <v/>
          </cell>
          <cell r="K668" t="str">
            <v/>
          </cell>
          <cell r="L668" t="str">
            <v/>
          </cell>
          <cell r="N668">
            <v>0</v>
          </cell>
        </row>
        <row r="669">
          <cell r="B669">
            <v>205</v>
          </cell>
          <cell r="E669" t="str">
            <v/>
          </cell>
          <cell r="F669" t="str">
            <v/>
          </cell>
          <cell r="G669" t="str">
            <v/>
          </cell>
          <cell r="K669" t="str">
            <v/>
          </cell>
          <cell r="L669" t="str">
            <v/>
          </cell>
          <cell r="N669">
            <v>0</v>
          </cell>
        </row>
        <row r="670">
          <cell r="B670">
            <v>205</v>
          </cell>
          <cell r="E670" t="str">
            <v/>
          </cell>
          <cell r="F670" t="str">
            <v/>
          </cell>
          <cell r="G670" t="str">
            <v/>
          </cell>
          <cell r="K670" t="str">
            <v/>
          </cell>
          <cell r="L670" t="str">
            <v/>
          </cell>
          <cell r="N670">
            <v>0</v>
          </cell>
        </row>
        <row r="671">
          <cell r="B671">
            <v>205</v>
          </cell>
          <cell r="E671" t="str">
            <v/>
          </cell>
          <cell r="F671" t="str">
            <v/>
          </cell>
          <cell r="G671" t="str">
            <v/>
          </cell>
          <cell r="K671" t="str">
            <v/>
          </cell>
          <cell r="L671" t="str">
            <v/>
          </cell>
          <cell r="N671">
            <v>0</v>
          </cell>
        </row>
        <row r="672">
          <cell r="B672">
            <v>205</v>
          </cell>
          <cell r="E672" t="str">
            <v/>
          </cell>
          <cell r="F672" t="str">
            <v/>
          </cell>
          <cell r="G672" t="str">
            <v/>
          </cell>
          <cell r="K672" t="str">
            <v/>
          </cell>
          <cell r="L672" t="str">
            <v/>
          </cell>
          <cell r="N672">
            <v>0</v>
          </cell>
        </row>
        <row r="673">
          <cell r="B673">
            <v>205</v>
          </cell>
          <cell r="E673" t="str">
            <v/>
          </cell>
          <cell r="F673" t="str">
            <v/>
          </cell>
          <cell r="G673" t="str">
            <v/>
          </cell>
          <cell r="K673" t="str">
            <v/>
          </cell>
          <cell r="L673" t="str">
            <v/>
          </cell>
          <cell r="N673">
            <v>0</v>
          </cell>
        </row>
        <row r="674">
          <cell r="B674">
            <v>205</v>
          </cell>
          <cell r="E674" t="str">
            <v/>
          </cell>
          <cell r="F674" t="str">
            <v/>
          </cell>
          <cell r="G674" t="str">
            <v/>
          </cell>
          <cell r="K674" t="str">
            <v/>
          </cell>
          <cell r="L674" t="str">
            <v/>
          </cell>
          <cell r="N674">
            <v>0</v>
          </cell>
        </row>
        <row r="675">
          <cell r="B675">
            <v>205</v>
          </cell>
          <cell r="E675" t="str">
            <v/>
          </cell>
          <cell r="F675" t="str">
            <v/>
          </cell>
          <cell r="G675" t="str">
            <v/>
          </cell>
          <cell r="K675" t="str">
            <v/>
          </cell>
          <cell r="L675" t="str">
            <v/>
          </cell>
          <cell r="N675">
            <v>0</v>
          </cell>
        </row>
        <row r="676">
          <cell r="B676">
            <v>205</v>
          </cell>
          <cell r="E676" t="str">
            <v/>
          </cell>
          <cell r="F676" t="str">
            <v/>
          </cell>
          <cell r="G676" t="str">
            <v/>
          </cell>
          <cell r="K676" t="str">
            <v/>
          </cell>
          <cell r="L676" t="str">
            <v/>
          </cell>
          <cell r="N676">
            <v>0</v>
          </cell>
        </row>
        <row r="677">
          <cell r="B677">
            <v>205</v>
          </cell>
          <cell r="E677" t="str">
            <v/>
          </cell>
          <cell r="F677" t="str">
            <v/>
          </cell>
          <cell r="G677" t="str">
            <v/>
          </cell>
          <cell r="K677" t="str">
            <v/>
          </cell>
          <cell r="L677" t="str">
            <v/>
          </cell>
          <cell r="N677">
            <v>0</v>
          </cell>
        </row>
        <row r="678">
          <cell r="B678">
            <v>205</v>
          </cell>
          <cell r="E678" t="str">
            <v/>
          </cell>
          <cell r="F678" t="str">
            <v/>
          </cell>
          <cell r="G678" t="str">
            <v/>
          </cell>
          <cell r="K678" t="str">
            <v/>
          </cell>
          <cell r="L678" t="str">
            <v/>
          </cell>
          <cell r="N678">
            <v>0</v>
          </cell>
        </row>
        <row r="679">
          <cell r="B679">
            <v>205</v>
          </cell>
          <cell r="E679" t="str">
            <v/>
          </cell>
          <cell r="F679" t="str">
            <v/>
          </cell>
          <cell r="G679" t="str">
            <v/>
          </cell>
          <cell r="K679" t="str">
            <v/>
          </cell>
          <cell r="L679" t="str">
            <v/>
          </cell>
          <cell r="N679">
            <v>0</v>
          </cell>
        </row>
        <row r="680">
          <cell r="B680">
            <v>205</v>
          </cell>
          <cell r="E680" t="str">
            <v/>
          </cell>
          <cell r="F680" t="str">
            <v/>
          </cell>
          <cell r="G680" t="str">
            <v/>
          </cell>
          <cell r="K680" t="str">
            <v/>
          </cell>
          <cell r="L680" t="str">
            <v/>
          </cell>
          <cell r="N680">
            <v>0</v>
          </cell>
        </row>
        <row r="681">
          <cell r="B681">
            <v>205</v>
          </cell>
          <cell r="E681" t="str">
            <v/>
          </cell>
          <cell r="F681" t="str">
            <v/>
          </cell>
          <cell r="G681" t="str">
            <v/>
          </cell>
          <cell r="K681" t="str">
            <v/>
          </cell>
          <cell r="L681" t="str">
            <v/>
          </cell>
          <cell r="N681">
            <v>0</v>
          </cell>
        </row>
        <row r="682">
          <cell r="B682">
            <v>205</v>
          </cell>
          <cell r="E682" t="str">
            <v/>
          </cell>
          <cell r="F682" t="str">
            <v/>
          </cell>
          <cell r="G682" t="str">
            <v/>
          </cell>
          <cell r="K682" t="str">
            <v/>
          </cell>
          <cell r="L682" t="str">
            <v/>
          </cell>
          <cell r="N682">
            <v>0</v>
          </cell>
        </row>
        <row r="683">
          <cell r="B683">
            <v>205</v>
          </cell>
          <cell r="E683" t="str">
            <v/>
          </cell>
          <cell r="F683" t="str">
            <v/>
          </cell>
          <cell r="G683" t="str">
            <v/>
          </cell>
          <cell r="K683" t="str">
            <v/>
          </cell>
          <cell r="L683" t="str">
            <v/>
          </cell>
          <cell r="N683">
            <v>0</v>
          </cell>
        </row>
        <row r="684">
          <cell r="B684">
            <v>205</v>
          </cell>
          <cell r="E684" t="str">
            <v/>
          </cell>
          <cell r="F684" t="str">
            <v/>
          </cell>
          <cell r="G684" t="str">
            <v/>
          </cell>
          <cell r="K684" t="str">
            <v/>
          </cell>
          <cell r="L684" t="str">
            <v/>
          </cell>
          <cell r="N684">
            <v>0</v>
          </cell>
        </row>
        <row r="685">
          <cell r="B685">
            <v>205</v>
          </cell>
          <cell r="E685" t="str">
            <v/>
          </cell>
          <cell r="F685" t="str">
            <v/>
          </cell>
          <cell r="G685" t="str">
            <v/>
          </cell>
          <cell r="K685" t="str">
            <v/>
          </cell>
          <cell r="L685" t="str">
            <v/>
          </cell>
          <cell r="N685">
            <v>0</v>
          </cell>
        </row>
        <row r="686">
          <cell r="B686">
            <v>205</v>
          </cell>
          <cell r="E686" t="str">
            <v/>
          </cell>
          <cell r="F686" t="str">
            <v/>
          </cell>
          <cell r="G686" t="str">
            <v/>
          </cell>
          <cell r="K686" t="str">
            <v/>
          </cell>
          <cell r="L686" t="str">
            <v/>
          </cell>
          <cell r="N686">
            <v>0</v>
          </cell>
        </row>
        <row r="687">
          <cell r="B687">
            <v>205</v>
          </cell>
          <cell r="E687" t="str">
            <v/>
          </cell>
          <cell r="F687" t="str">
            <v/>
          </cell>
          <cell r="G687" t="str">
            <v/>
          </cell>
          <cell r="K687" t="str">
            <v/>
          </cell>
          <cell r="L687" t="str">
            <v/>
          </cell>
          <cell r="N687">
            <v>0</v>
          </cell>
        </row>
        <row r="688">
          <cell r="B688">
            <v>205</v>
          </cell>
          <cell r="E688" t="str">
            <v/>
          </cell>
          <cell r="F688" t="str">
            <v/>
          </cell>
          <cell r="G688" t="str">
            <v/>
          </cell>
          <cell r="K688" t="str">
            <v/>
          </cell>
          <cell r="L688" t="str">
            <v/>
          </cell>
          <cell r="N688">
            <v>0</v>
          </cell>
        </row>
        <row r="689">
          <cell r="B689">
            <v>205</v>
          </cell>
          <cell r="E689" t="str">
            <v/>
          </cell>
          <cell r="F689" t="str">
            <v/>
          </cell>
          <cell r="G689" t="str">
            <v/>
          </cell>
          <cell r="K689" t="str">
            <v/>
          </cell>
          <cell r="L689" t="str">
            <v/>
          </cell>
          <cell r="N689">
            <v>0</v>
          </cell>
        </row>
        <row r="690">
          <cell r="B690">
            <v>205</v>
          </cell>
          <cell r="E690" t="str">
            <v/>
          </cell>
          <cell r="F690" t="str">
            <v/>
          </cell>
          <cell r="G690" t="str">
            <v/>
          </cell>
          <cell r="K690" t="str">
            <v/>
          </cell>
          <cell r="L690" t="str">
            <v/>
          </cell>
          <cell r="N690">
            <v>0</v>
          </cell>
        </row>
        <row r="691">
          <cell r="B691">
            <v>205</v>
          </cell>
          <cell r="E691" t="str">
            <v/>
          </cell>
          <cell r="F691" t="str">
            <v/>
          </cell>
          <cell r="G691" t="str">
            <v/>
          </cell>
          <cell r="K691" t="str">
            <v/>
          </cell>
          <cell r="L691" t="str">
            <v/>
          </cell>
          <cell r="N691">
            <v>0</v>
          </cell>
        </row>
        <row r="692">
          <cell r="B692">
            <v>205</v>
          </cell>
          <cell r="E692" t="str">
            <v/>
          </cell>
          <cell r="F692" t="str">
            <v/>
          </cell>
          <cell r="G692" t="str">
            <v/>
          </cell>
          <cell r="K692" t="str">
            <v/>
          </cell>
          <cell r="L692" t="str">
            <v/>
          </cell>
          <cell r="N692">
            <v>0</v>
          </cell>
        </row>
        <row r="693">
          <cell r="B693">
            <v>205</v>
          </cell>
          <cell r="E693" t="str">
            <v/>
          </cell>
          <cell r="F693" t="str">
            <v/>
          </cell>
          <cell r="G693" t="str">
            <v/>
          </cell>
          <cell r="K693" t="str">
            <v/>
          </cell>
          <cell r="L693" t="str">
            <v/>
          </cell>
          <cell r="N693">
            <v>0</v>
          </cell>
        </row>
        <row r="694">
          <cell r="B694">
            <v>205</v>
          </cell>
          <cell r="E694" t="str">
            <v/>
          </cell>
          <cell r="F694" t="str">
            <v/>
          </cell>
          <cell r="G694" t="str">
            <v/>
          </cell>
          <cell r="K694" t="str">
            <v/>
          </cell>
          <cell r="L694" t="str">
            <v/>
          </cell>
          <cell r="N694">
            <v>0</v>
          </cell>
        </row>
        <row r="695">
          <cell r="B695">
            <v>205</v>
          </cell>
          <cell r="E695" t="str">
            <v/>
          </cell>
          <cell r="F695" t="str">
            <v/>
          </cell>
          <cell r="G695" t="str">
            <v/>
          </cell>
          <cell r="K695" t="str">
            <v/>
          </cell>
          <cell r="L695" t="str">
            <v/>
          </cell>
          <cell r="N695">
            <v>0</v>
          </cell>
        </row>
        <row r="696">
          <cell r="B696">
            <v>205</v>
          </cell>
          <cell r="E696" t="str">
            <v/>
          </cell>
          <cell r="F696" t="str">
            <v/>
          </cell>
          <cell r="G696" t="str">
            <v/>
          </cell>
          <cell r="K696" t="str">
            <v/>
          </cell>
          <cell r="L696" t="str">
            <v/>
          </cell>
          <cell r="N696">
            <v>0</v>
          </cell>
        </row>
        <row r="697">
          <cell r="B697">
            <v>205</v>
          </cell>
          <cell r="E697" t="str">
            <v/>
          </cell>
          <cell r="F697" t="str">
            <v/>
          </cell>
          <cell r="G697" t="str">
            <v/>
          </cell>
          <cell r="K697" t="str">
            <v/>
          </cell>
          <cell r="L697" t="str">
            <v/>
          </cell>
          <cell r="N697">
            <v>0</v>
          </cell>
        </row>
        <row r="698">
          <cell r="B698">
            <v>205</v>
          </cell>
          <cell r="E698" t="str">
            <v/>
          </cell>
          <cell r="F698" t="str">
            <v/>
          </cell>
          <cell r="G698" t="str">
            <v/>
          </cell>
          <cell r="K698" t="str">
            <v/>
          </cell>
          <cell r="L698" t="str">
            <v/>
          </cell>
          <cell r="N698">
            <v>0</v>
          </cell>
        </row>
        <row r="699">
          <cell r="B699">
            <v>205</v>
          </cell>
          <cell r="E699" t="str">
            <v/>
          </cell>
          <cell r="F699" t="str">
            <v/>
          </cell>
          <cell r="G699" t="str">
            <v/>
          </cell>
          <cell r="K699" t="str">
            <v/>
          </cell>
          <cell r="L699" t="str">
            <v/>
          </cell>
          <cell r="N699">
            <v>0</v>
          </cell>
        </row>
        <row r="700">
          <cell r="B700">
            <v>205</v>
          </cell>
          <cell r="E700" t="str">
            <v/>
          </cell>
          <cell r="F700" t="str">
            <v/>
          </cell>
          <cell r="G700" t="str">
            <v/>
          </cell>
          <cell r="K700" t="str">
            <v/>
          </cell>
          <cell r="L700" t="str">
            <v/>
          </cell>
          <cell r="N700">
            <v>0</v>
          </cell>
        </row>
        <row r="701">
          <cell r="B701">
            <v>205</v>
          </cell>
          <cell r="E701" t="str">
            <v/>
          </cell>
          <cell r="F701" t="str">
            <v/>
          </cell>
          <cell r="G701" t="str">
            <v/>
          </cell>
          <cell r="K701" t="str">
            <v/>
          </cell>
          <cell r="L701" t="str">
            <v/>
          </cell>
          <cell r="N701">
            <v>0</v>
          </cell>
        </row>
        <row r="702">
          <cell r="B702">
            <v>205</v>
          </cell>
          <cell r="E702" t="str">
            <v/>
          </cell>
          <cell r="F702" t="str">
            <v/>
          </cell>
          <cell r="G702" t="str">
            <v/>
          </cell>
          <cell r="K702" t="str">
            <v/>
          </cell>
          <cell r="L702" t="str">
            <v/>
          </cell>
          <cell r="N702">
            <v>0</v>
          </cell>
        </row>
        <row r="703">
          <cell r="B703">
            <v>205</v>
          </cell>
          <cell r="E703" t="str">
            <v/>
          </cell>
          <cell r="F703" t="str">
            <v/>
          </cell>
          <cell r="G703" t="str">
            <v/>
          </cell>
          <cell r="K703" t="str">
            <v/>
          </cell>
          <cell r="L703" t="str">
            <v/>
          </cell>
          <cell r="N703">
            <v>0</v>
          </cell>
        </row>
        <row r="704">
          <cell r="B704">
            <v>205</v>
          </cell>
          <cell r="E704" t="str">
            <v/>
          </cell>
          <cell r="F704" t="str">
            <v/>
          </cell>
          <cell r="G704" t="str">
            <v/>
          </cell>
          <cell r="K704" t="str">
            <v/>
          </cell>
          <cell r="L704" t="str">
            <v/>
          </cell>
          <cell r="N704">
            <v>0</v>
          </cell>
        </row>
        <row r="705">
          <cell r="B705">
            <v>205</v>
          </cell>
          <cell r="E705" t="str">
            <v/>
          </cell>
          <cell r="F705" t="str">
            <v/>
          </cell>
          <cell r="G705" t="str">
            <v/>
          </cell>
          <cell r="K705" t="str">
            <v/>
          </cell>
          <cell r="L705" t="str">
            <v/>
          </cell>
          <cell r="N705">
            <v>0</v>
          </cell>
        </row>
        <row r="706">
          <cell r="B706">
            <v>205</v>
          </cell>
          <cell r="E706" t="str">
            <v/>
          </cell>
          <cell r="F706" t="str">
            <v/>
          </cell>
          <cell r="G706" t="str">
            <v/>
          </cell>
          <cell r="K706" t="str">
            <v/>
          </cell>
          <cell r="L706" t="str">
            <v/>
          </cell>
          <cell r="N706">
            <v>0</v>
          </cell>
        </row>
        <row r="707">
          <cell r="B707">
            <v>205</v>
          </cell>
          <cell r="E707" t="str">
            <v/>
          </cell>
          <cell r="F707" t="str">
            <v/>
          </cell>
          <cell r="G707" t="str">
            <v/>
          </cell>
          <cell r="K707" t="str">
            <v/>
          </cell>
          <cell r="L707" t="str">
            <v/>
          </cell>
          <cell r="N707">
            <v>0</v>
          </cell>
        </row>
        <row r="708">
          <cell r="B708">
            <v>205</v>
          </cell>
          <cell r="E708" t="str">
            <v/>
          </cell>
          <cell r="F708" t="str">
            <v/>
          </cell>
          <cell r="G708" t="str">
            <v/>
          </cell>
          <cell r="K708" t="str">
            <v/>
          </cell>
          <cell r="L708" t="str">
            <v/>
          </cell>
          <cell r="N708">
            <v>0</v>
          </cell>
        </row>
        <row r="709">
          <cell r="B709">
            <v>205</v>
          </cell>
          <cell r="E709" t="str">
            <v/>
          </cell>
          <cell r="F709" t="str">
            <v/>
          </cell>
          <cell r="G709" t="str">
            <v/>
          </cell>
          <cell r="K709" t="str">
            <v/>
          </cell>
          <cell r="L709" t="str">
            <v/>
          </cell>
          <cell r="N709">
            <v>0</v>
          </cell>
        </row>
        <row r="710">
          <cell r="B710">
            <v>205</v>
          </cell>
          <cell r="E710" t="str">
            <v/>
          </cell>
          <cell r="F710" t="str">
            <v/>
          </cell>
          <cell r="G710" t="str">
            <v/>
          </cell>
          <cell r="K710" t="str">
            <v/>
          </cell>
          <cell r="L710" t="str">
            <v/>
          </cell>
          <cell r="N710">
            <v>0</v>
          </cell>
        </row>
        <row r="711">
          <cell r="B711">
            <v>205</v>
          </cell>
          <cell r="E711" t="str">
            <v/>
          </cell>
          <cell r="F711" t="str">
            <v/>
          </cell>
          <cell r="G711" t="str">
            <v/>
          </cell>
          <cell r="K711" t="str">
            <v/>
          </cell>
          <cell r="L711" t="str">
            <v/>
          </cell>
          <cell r="N711">
            <v>0</v>
          </cell>
        </row>
        <row r="712">
          <cell r="B712">
            <v>205</v>
          </cell>
          <cell r="E712" t="str">
            <v/>
          </cell>
          <cell r="F712" t="str">
            <v/>
          </cell>
          <cell r="G712" t="str">
            <v/>
          </cell>
          <cell r="K712" t="str">
            <v/>
          </cell>
          <cell r="L712" t="str">
            <v/>
          </cell>
          <cell r="N712">
            <v>0</v>
          </cell>
        </row>
        <row r="713">
          <cell r="B713">
            <v>205</v>
          </cell>
          <cell r="E713" t="str">
            <v/>
          </cell>
          <cell r="F713" t="str">
            <v/>
          </cell>
          <cell r="G713" t="str">
            <v/>
          </cell>
          <cell r="K713" t="str">
            <v/>
          </cell>
          <cell r="L713" t="str">
            <v/>
          </cell>
          <cell r="N713">
            <v>0</v>
          </cell>
        </row>
        <row r="714">
          <cell r="B714">
            <v>205</v>
          </cell>
          <cell r="E714" t="str">
            <v/>
          </cell>
          <cell r="F714" t="str">
            <v/>
          </cell>
          <cell r="G714" t="str">
            <v/>
          </cell>
          <cell r="K714" t="str">
            <v/>
          </cell>
          <cell r="L714" t="str">
            <v/>
          </cell>
          <cell r="N714">
            <v>0</v>
          </cell>
        </row>
        <row r="715">
          <cell r="B715">
            <v>205</v>
          </cell>
          <cell r="E715" t="str">
            <v/>
          </cell>
          <cell r="F715" t="str">
            <v/>
          </cell>
          <cell r="G715" t="str">
            <v/>
          </cell>
          <cell r="K715" t="str">
            <v/>
          </cell>
          <cell r="L715" t="str">
            <v/>
          </cell>
          <cell r="N715">
            <v>0</v>
          </cell>
        </row>
        <row r="716">
          <cell r="B716">
            <v>205</v>
          </cell>
          <cell r="E716" t="str">
            <v/>
          </cell>
          <cell r="F716" t="str">
            <v/>
          </cell>
          <cell r="G716" t="str">
            <v/>
          </cell>
          <cell r="K716" t="str">
            <v/>
          </cell>
          <cell r="L716" t="str">
            <v/>
          </cell>
          <cell r="N716">
            <v>0</v>
          </cell>
        </row>
        <row r="717">
          <cell r="B717">
            <v>205</v>
          </cell>
          <cell r="E717" t="str">
            <v/>
          </cell>
          <cell r="F717" t="str">
            <v/>
          </cell>
          <cell r="G717" t="str">
            <v/>
          </cell>
          <cell r="K717" t="str">
            <v/>
          </cell>
          <cell r="L717" t="str">
            <v/>
          </cell>
          <cell r="N717">
            <v>0</v>
          </cell>
        </row>
        <row r="718">
          <cell r="B718">
            <v>205</v>
          </cell>
          <cell r="E718" t="str">
            <v/>
          </cell>
          <cell r="F718" t="str">
            <v/>
          </cell>
          <cell r="G718" t="str">
            <v/>
          </cell>
          <cell r="K718" t="str">
            <v/>
          </cell>
          <cell r="L718" t="str">
            <v/>
          </cell>
          <cell r="N718">
            <v>0</v>
          </cell>
        </row>
        <row r="719">
          <cell r="B719">
            <v>205</v>
          </cell>
          <cell r="E719" t="str">
            <v/>
          </cell>
          <cell r="F719" t="str">
            <v/>
          </cell>
          <cell r="G719" t="str">
            <v/>
          </cell>
          <cell r="K719" t="str">
            <v/>
          </cell>
          <cell r="L719" t="str">
            <v/>
          </cell>
          <cell r="N719">
            <v>0</v>
          </cell>
        </row>
        <row r="720">
          <cell r="B720">
            <v>205</v>
          </cell>
          <cell r="E720" t="str">
            <v/>
          </cell>
          <cell r="F720" t="str">
            <v/>
          </cell>
          <cell r="G720" t="str">
            <v/>
          </cell>
          <cell r="K720" t="str">
            <v/>
          </cell>
          <cell r="L720" t="str">
            <v/>
          </cell>
          <cell r="N720">
            <v>0</v>
          </cell>
        </row>
        <row r="721">
          <cell r="B721">
            <v>205</v>
          </cell>
          <cell r="E721" t="str">
            <v/>
          </cell>
          <cell r="F721" t="str">
            <v/>
          </cell>
          <cell r="G721" t="str">
            <v/>
          </cell>
          <cell r="K721" t="str">
            <v/>
          </cell>
          <cell r="L721" t="str">
            <v/>
          </cell>
          <cell r="N721">
            <v>0</v>
          </cell>
        </row>
        <row r="722">
          <cell r="B722">
            <v>205</v>
          </cell>
          <cell r="E722" t="str">
            <v/>
          </cell>
          <cell r="F722" t="str">
            <v/>
          </cell>
          <cell r="G722" t="str">
            <v/>
          </cell>
          <cell r="K722" t="str">
            <v/>
          </cell>
          <cell r="L722" t="str">
            <v/>
          </cell>
          <cell r="N722">
            <v>0</v>
          </cell>
        </row>
        <row r="723">
          <cell r="B723">
            <v>205</v>
          </cell>
          <cell r="E723" t="str">
            <v/>
          </cell>
          <cell r="F723" t="str">
            <v/>
          </cell>
          <cell r="G723" t="str">
            <v/>
          </cell>
          <cell r="K723" t="str">
            <v/>
          </cell>
          <cell r="L723" t="str">
            <v/>
          </cell>
          <cell r="N723">
            <v>0</v>
          </cell>
        </row>
        <row r="724">
          <cell r="B724">
            <v>205</v>
          </cell>
          <cell r="E724" t="str">
            <v/>
          </cell>
          <cell r="F724" t="str">
            <v/>
          </cell>
          <cell r="G724" t="str">
            <v/>
          </cell>
          <cell r="K724" t="str">
            <v/>
          </cell>
          <cell r="L724" t="str">
            <v/>
          </cell>
          <cell r="N724">
            <v>0</v>
          </cell>
        </row>
        <row r="725">
          <cell r="B725">
            <v>205</v>
          </cell>
          <cell r="E725" t="str">
            <v/>
          </cell>
          <cell r="F725" t="str">
            <v/>
          </cell>
          <cell r="G725" t="str">
            <v/>
          </cell>
          <cell r="K725" t="str">
            <v/>
          </cell>
          <cell r="L725" t="str">
            <v/>
          </cell>
          <cell r="N725">
            <v>0</v>
          </cell>
        </row>
        <row r="726">
          <cell r="B726">
            <v>205</v>
          </cell>
          <cell r="E726" t="str">
            <v/>
          </cell>
          <cell r="F726" t="str">
            <v/>
          </cell>
          <cell r="G726" t="str">
            <v/>
          </cell>
          <cell r="K726" t="str">
            <v/>
          </cell>
          <cell r="L726" t="str">
            <v/>
          </cell>
          <cell r="N726">
            <v>0</v>
          </cell>
        </row>
        <row r="727">
          <cell r="B727">
            <v>205</v>
          </cell>
          <cell r="E727" t="str">
            <v/>
          </cell>
          <cell r="F727" t="str">
            <v/>
          </cell>
          <cell r="G727" t="str">
            <v/>
          </cell>
          <cell r="K727" t="str">
            <v/>
          </cell>
          <cell r="L727" t="str">
            <v/>
          </cell>
          <cell r="N727">
            <v>0</v>
          </cell>
        </row>
        <row r="728">
          <cell r="B728">
            <v>205</v>
          </cell>
          <cell r="E728" t="str">
            <v/>
          </cell>
          <cell r="F728" t="str">
            <v/>
          </cell>
          <cell r="G728" t="str">
            <v/>
          </cell>
          <cell r="K728" t="str">
            <v/>
          </cell>
          <cell r="L728" t="str">
            <v/>
          </cell>
          <cell r="N728">
            <v>0</v>
          </cell>
        </row>
        <row r="729">
          <cell r="B729">
            <v>205</v>
          </cell>
          <cell r="E729" t="str">
            <v/>
          </cell>
          <cell r="F729" t="str">
            <v/>
          </cell>
          <cell r="G729" t="str">
            <v/>
          </cell>
          <cell r="K729" t="str">
            <v/>
          </cell>
          <cell r="L729" t="str">
            <v/>
          </cell>
          <cell r="N729">
            <v>0</v>
          </cell>
        </row>
        <row r="730">
          <cell r="B730">
            <v>205</v>
          </cell>
          <cell r="E730" t="str">
            <v/>
          </cell>
          <cell r="F730" t="str">
            <v/>
          </cell>
          <cell r="G730" t="str">
            <v/>
          </cell>
          <cell r="K730" t="str">
            <v/>
          </cell>
          <cell r="L730" t="str">
            <v/>
          </cell>
          <cell r="N730">
            <v>0</v>
          </cell>
        </row>
        <row r="731">
          <cell r="B731">
            <v>205</v>
          </cell>
          <cell r="E731" t="str">
            <v/>
          </cell>
          <cell r="F731" t="str">
            <v/>
          </cell>
          <cell r="G731" t="str">
            <v/>
          </cell>
          <cell r="K731" t="str">
            <v/>
          </cell>
          <cell r="L731" t="str">
            <v/>
          </cell>
          <cell r="N731">
            <v>0</v>
          </cell>
        </row>
        <row r="732">
          <cell r="B732">
            <v>205</v>
          </cell>
          <cell r="E732" t="str">
            <v/>
          </cell>
          <cell r="F732" t="str">
            <v/>
          </cell>
          <cell r="G732" t="str">
            <v/>
          </cell>
          <cell r="K732" t="str">
            <v/>
          </cell>
          <cell r="L732" t="str">
            <v/>
          </cell>
          <cell r="N732">
            <v>0</v>
          </cell>
        </row>
        <row r="733">
          <cell r="B733">
            <v>205</v>
          </cell>
          <cell r="E733" t="str">
            <v/>
          </cell>
          <cell r="F733" t="str">
            <v/>
          </cell>
          <cell r="G733" t="str">
            <v/>
          </cell>
          <cell r="K733" t="str">
            <v/>
          </cell>
          <cell r="L733" t="str">
            <v/>
          </cell>
          <cell r="N733">
            <v>0</v>
          </cell>
        </row>
        <row r="734">
          <cell r="B734">
            <v>205</v>
          </cell>
          <cell r="E734" t="str">
            <v/>
          </cell>
          <cell r="F734" t="str">
            <v/>
          </cell>
          <cell r="G734" t="str">
            <v/>
          </cell>
          <cell r="K734" t="str">
            <v/>
          </cell>
          <cell r="L734" t="str">
            <v/>
          </cell>
          <cell r="N734">
            <v>0</v>
          </cell>
        </row>
        <row r="735">
          <cell r="B735">
            <v>205</v>
          </cell>
          <cell r="E735" t="str">
            <v/>
          </cell>
          <cell r="F735" t="str">
            <v/>
          </cell>
          <cell r="G735" t="str">
            <v/>
          </cell>
          <cell r="K735" t="str">
            <v/>
          </cell>
          <cell r="L735" t="str">
            <v/>
          </cell>
          <cell r="N735">
            <v>0</v>
          </cell>
        </row>
        <row r="736">
          <cell r="B736">
            <v>205</v>
          </cell>
          <cell r="E736" t="str">
            <v/>
          </cell>
          <cell r="F736" t="str">
            <v/>
          </cell>
          <cell r="G736" t="str">
            <v/>
          </cell>
          <cell r="K736" t="str">
            <v/>
          </cell>
          <cell r="L736" t="str">
            <v/>
          </cell>
          <cell r="N736">
            <v>0</v>
          </cell>
        </row>
        <row r="737">
          <cell r="B737">
            <v>205</v>
          </cell>
          <cell r="E737" t="str">
            <v/>
          </cell>
          <cell r="F737" t="str">
            <v/>
          </cell>
          <cell r="G737" t="str">
            <v/>
          </cell>
          <cell r="K737" t="str">
            <v/>
          </cell>
          <cell r="L737" t="str">
            <v/>
          </cell>
          <cell r="N737">
            <v>0</v>
          </cell>
        </row>
        <row r="738">
          <cell r="B738">
            <v>205</v>
          </cell>
          <cell r="E738" t="str">
            <v/>
          </cell>
          <cell r="F738" t="str">
            <v/>
          </cell>
          <cell r="G738" t="str">
            <v/>
          </cell>
          <cell r="K738" t="str">
            <v/>
          </cell>
          <cell r="L738" t="str">
            <v/>
          </cell>
          <cell r="N738">
            <v>0</v>
          </cell>
        </row>
        <row r="739">
          <cell r="B739">
            <v>205</v>
          </cell>
          <cell r="E739" t="str">
            <v/>
          </cell>
          <cell r="F739" t="str">
            <v/>
          </cell>
          <cell r="G739" t="str">
            <v/>
          </cell>
          <cell r="K739" t="str">
            <v/>
          </cell>
          <cell r="L739" t="str">
            <v/>
          </cell>
          <cell r="N739">
            <v>0</v>
          </cell>
        </row>
        <row r="740">
          <cell r="B740">
            <v>205</v>
          </cell>
          <cell r="E740" t="str">
            <v/>
          </cell>
          <cell r="F740" t="str">
            <v/>
          </cell>
          <cell r="G740" t="str">
            <v/>
          </cell>
          <cell r="K740" t="str">
            <v/>
          </cell>
          <cell r="L740" t="str">
            <v/>
          </cell>
          <cell r="N740">
            <v>0</v>
          </cell>
        </row>
        <row r="741">
          <cell r="B741">
            <v>205</v>
          </cell>
          <cell r="E741" t="str">
            <v/>
          </cell>
          <cell r="F741" t="str">
            <v/>
          </cell>
          <cell r="G741" t="str">
            <v/>
          </cell>
          <cell r="K741" t="str">
            <v/>
          </cell>
          <cell r="L741" t="str">
            <v/>
          </cell>
          <cell r="N741">
            <v>0</v>
          </cell>
        </row>
        <row r="742">
          <cell r="B742">
            <v>205</v>
          </cell>
          <cell r="E742" t="str">
            <v/>
          </cell>
          <cell r="F742" t="str">
            <v/>
          </cell>
          <cell r="G742" t="str">
            <v/>
          </cell>
          <cell r="K742" t="str">
            <v/>
          </cell>
          <cell r="L742" t="str">
            <v/>
          </cell>
          <cell r="N742">
            <v>0</v>
          </cell>
        </row>
        <row r="743">
          <cell r="B743">
            <v>205</v>
          </cell>
          <cell r="E743" t="str">
            <v/>
          </cell>
          <cell r="F743" t="str">
            <v/>
          </cell>
          <cell r="G743" t="str">
            <v/>
          </cell>
          <cell r="K743" t="str">
            <v/>
          </cell>
          <cell r="L743" t="str">
            <v/>
          </cell>
          <cell r="N743">
            <v>0</v>
          </cell>
        </row>
        <row r="744">
          <cell r="B744">
            <v>205</v>
          </cell>
          <cell r="E744" t="str">
            <v/>
          </cell>
          <cell r="F744" t="str">
            <v/>
          </cell>
          <cell r="G744" t="str">
            <v/>
          </cell>
          <cell r="K744" t="str">
            <v/>
          </cell>
          <cell r="L744" t="str">
            <v/>
          </cell>
          <cell r="N744">
            <v>0</v>
          </cell>
        </row>
        <row r="745">
          <cell r="B745">
            <v>205</v>
          </cell>
          <cell r="E745" t="str">
            <v/>
          </cell>
          <cell r="F745" t="str">
            <v/>
          </cell>
          <cell r="G745" t="str">
            <v/>
          </cell>
          <cell r="K745" t="str">
            <v/>
          </cell>
          <cell r="L745" t="str">
            <v/>
          </cell>
          <cell r="N745">
            <v>0</v>
          </cell>
        </row>
        <row r="746">
          <cell r="B746">
            <v>205</v>
          </cell>
          <cell r="E746" t="str">
            <v/>
          </cell>
          <cell r="F746" t="str">
            <v/>
          </cell>
          <cell r="G746" t="str">
            <v/>
          </cell>
          <cell r="K746" t="str">
            <v/>
          </cell>
          <cell r="L746" t="str">
            <v/>
          </cell>
          <cell r="N746">
            <v>0</v>
          </cell>
        </row>
        <row r="747">
          <cell r="B747">
            <v>205</v>
          </cell>
          <cell r="E747" t="str">
            <v/>
          </cell>
          <cell r="F747" t="str">
            <v/>
          </cell>
          <cell r="G747" t="str">
            <v/>
          </cell>
          <cell r="K747" t="str">
            <v/>
          </cell>
          <cell r="L747" t="str">
            <v/>
          </cell>
          <cell r="N747">
            <v>0</v>
          </cell>
        </row>
        <row r="748">
          <cell r="B748">
            <v>205</v>
          </cell>
          <cell r="E748" t="str">
            <v/>
          </cell>
          <cell r="F748" t="str">
            <v/>
          </cell>
          <cell r="G748" t="str">
            <v/>
          </cell>
          <cell r="K748" t="str">
            <v/>
          </cell>
          <cell r="L748" t="str">
            <v/>
          </cell>
          <cell r="N748">
            <v>0</v>
          </cell>
        </row>
        <row r="749">
          <cell r="B749">
            <v>205</v>
          </cell>
          <cell r="E749" t="str">
            <v/>
          </cell>
          <cell r="F749" t="str">
            <v/>
          </cell>
          <cell r="G749" t="str">
            <v/>
          </cell>
          <cell r="K749" t="str">
            <v/>
          </cell>
          <cell r="L749" t="str">
            <v/>
          </cell>
          <cell r="N749">
            <v>0</v>
          </cell>
        </row>
        <row r="750">
          <cell r="B750">
            <v>205</v>
          </cell>
          <cell r="E750" t="str">
            <v/>
          </cell>
          <cell r="F750" t="str">
            <v/>
          </cell>
          <cell r="G750" t="str">
            <v/>
          </cell>
          <cell r="K750" t="str">
            <v/>
          </cell>
          <cell r="L750" t="str">
            <v/>
          </cell>
          <cell r="N750">
            <v>0</v>
          </cell>
        </row>
        <row r="751">
          <cell r="B751">
            <v>205</v>
          </cell>
          <cell r="E751" t="str">
            <v/>
          </cell>
          <cell r="F751" t="str">
            <v/>
          </cell>
          <cell r="G751" t="str">
            <v/>
          </cell>
          <cell r="K751" t="str">
            <v/>
          </cell>
          <cell r="L751" t="str">
            <v/>
          </cell>
          <cell r="N751">
            <v>0</v>
          </cell>
        </row>
        <row r="752">
          <cell r="B752">
            <v>205</v>
          </cell>
          <cell r="E752" t="str">
            <v/>
          </cell>
          <cell r="F752" t="str">
            <v/>
          </cell>
          <cell r="G752" t="str">
            <v/>
          </cell>
          <cell r="K752" t="str">
            <v/>
          </cell>
          <cell r="L752" t="str">
            <v/>
          </cell>
          <cell r="N752">
            <v>0</v>
          </cell>
        </row>
        <row r="753">
          <cell r="B753">
            <v>205</v>
          </cell>
          <cell r="E753" t="str">
            <v/>
          </cell>
          <cell r="F753" t="str">
            <v/>
          </cell>
          <cell r="G753" t="str">
            <v/>
          </cell>
          <cell r="K753" t="str">
            <v/>
          </cell>
          <cell r="L753" t="str">
            <v/>
          </cell>
          <cell r="N753">
            <v>0</v>
          </cell>
        </row>
        <row r="754">
          <cell r="B754">
            <v>205</v>
          </cell>
          <cell r="E754" t="str">
            <v/>
          </cell>
          <cell r="F754" t="str">
            <v/>
          </cell>
          <cell r="G754" t="str">
            <v/>
          </cell>
          <cell r="K754" t="str">
            <v/>
          </cell>
          <cell r="L754" t="str">
            <v/>
          </cell>
          <cell r="N754">
            <v>0</v>
          </cell>
        </row>
        <row r="755">
          <cell r="B755">
            <v>205</v>
          </cell>
          <cell r="E755" t="str">
            <v/>
          </cell>
          <cell r="F755" t="str">
            <v/>
          </cell>
          <cell r="G755" t="str">
            <v/>
          </cell>
          <cell r="K755" t="str">
            <v/>
          </cell>
          <cell r="L755" t="str">
            <v/>
          </cell>
          <cell r="N755">
            <v>0</v>
          </cell>
        </row>
        <row r="756">
          <cell r="B756">
            <v>205</v>
          </cell>
          <cell r="E756" t="str">
            <v/>
          </cell>
          <cell r="F756" t="str">
            <v/>
          </cell>
          <cell r="G756" t="str">
            <v/>
          </cell>
          <cell r="K756" t="str">
            <v/>
          </cell>
          <cell r="L756" t="str">
            <v/>
          </cell>
          <cell r="N756">
            <v>0</v>
          </cell>
        </row>
        <row r="757">
          <cell r="B757">
            <v>205</v>
          </cell>
          <cell r="E757" t="str">
            <v/>
          </cell>
          <cell r="F757" t="str">
            <v/>
          </cell>
          <cell r="G757" t="str">
            <v/>
          </cell>
          <cell r="K757" t="str">
            <v/>
          </cell>
          <cell r="L757" t="str">
            <v/>
          </cell>
          <cell r="N757">
            <v>0</v>
          </cell>
        </row>
        <row r="758">
          <cell r="B758">
            <v>205</v>
          </cell>
          <cell r="E758" t="str">
            <v/>
          </cell>
          <cell r="F758" t="str">
            <v/>
          </cell>
          <cell r="G758" t="str">
            <v/>
          </cell>
          <cell r="K758" t="str">
            <v/>
          </cell>
          <cell r="L758" t="str">
            <v/>
          </cell>
          <cell r="N758">
            <v>0</v>
          </cell>
        </row>
        <row r="759">
          <cell r="B759">
            <v>205</v>
          </cell>
          <cell r="E759" t="str">
            <v/>
          </cell>
          <cell r="F759" t="str">
            <v/>
          </cell>
          <cell r="G759" t="str">
            <v/>
          </cell>
          <cell r="K759" t="str">
            <v/>
          </cell>
          <cell r="L759" t="str">
            <v/>
          </cell>
          <cell r="N759">
            <v>0</v>
          </cell>
        </row>
        <row r="760">
          <cell r="B760">
            <v>205</v>
          </cell>
          <cell r="E760" t="str">
            <v/>
          </cell>
          <cell r="F760" t="str">
            <v/>
          </cell>
          <cell r="G760" t="str">
            <v/>
          </cell>
          <cell r="K760" t="str">
            <v/>
          </cell>
          <cell r="L760" t="str">
            <v/>
          </cell>
          <cell r="N760">
            <v>0</v>
          </cell>
        </row>
        <row r="761">
          <cell r="B761">
            <v>205</v>
          </cell>
          <cell r="E761" t="str">
            <v/>
          </cell>
          <cell r="F761" t="str">
            <v/>
          </cell>
          <cell r="G761" t="str">
            <v/>
          </cell>
          <cell r="K761" t="str">
            <v/>
          </cell>
          <cell r="L761" t="str">
            <v/>
          </cell>
          <cell r="N761">
            <v>0</v>
          </cell>
        </row>
        <row r="762">
          <cell r="B762">
            <v>205</v>
          </cell>
          <cell r="E762" t="str">
            <v/>
          </cell>
          <cell r="F762" t="str">
            <v/>
          </cell>
          <cell r="G762" t="str">
            <v/>
          </cell>
          <cell r="K762" t="str">
            <v/>
          </cell>
          <cell r="L762" t="str">
            <v/>
          </cell>
          <cell r="N762">
            <v>0</v>
          </cell>
        </row>
        <row r="763">
          <cell r="B763">
            <v>205</v>
          </cell>
          <cell r="E763" t="str">
            <v/>
          </cell>
          <cell r="F763" t="str">
            <v/>
          </cell>
          <cell r="G763" t="str">
            <v/>
          </cell>
          <cell r="K763" t="str">
            <v/>
          </cell>
          <cell r="L763" t="str">
            <v/>
          </cell>
          <cell r="N763">
            <v>0</v>
          </cell>
        </row>
        <row r="764">
          <cell r="B764">
            <v>205</v>
          </cell>
          <cell r="E764" t="str">
            <v/>
          </cell>
          <cell r="F764" t="str">
            <v/>
          </cell>
          <cell r="G764" t="str">
            <v/>
          </cell>
          <cell r="K764" t="str">
            <v/>
          </cell>
          <cell r="L764" t="str">
            <v/>
          </cell>
          <cell r="N764">
            <v>0</v>
          </cell>
        </row>
        <row r="765">
          <cell r="B765">
            <v>205</v>
          </cell>
          <cell r="E765" t="str">
            <v/>
          </cell>
          <cell r="F765" t="str">
            <v/>
          </cell>
          <cell r="G765" t="str">
            <v/>
          </cell>
          <cell r="K765" t="str">
            <v/>
          </cell>
          <cell r="L765" t="str">
            <v/>
          </cell>
          <cell r="N765">
            <v>0</v>
          </cell>
        </row>
        <row r="766">
          <cell r="B766">
            <v>205</v>
          </cell>
          <cell r="E766" t="str">
            <v/>
          </cell>
          <cell r="F766" t="str">
            <v/>
          </cell>
          <cell r="G766" t="str">
            <v/>
          </cell>
          <cell r="K766" t="str">
            <v/>
          </cell>
          <cell r="L766" t="str">
            <v/>
          </cell>
          <cell r="N766">
            <v>0</v>
          </cell>
        </row>
        <row r="767">
          <cell r="B767">
            <v>205</v>
          </cell>
          <cell r="E767" t="str">
            <v/>
          </cell>
          <cell r="F767" t="str">
            <v/>
          </cell>
          <cell r="G767" t="str">
            <v/>
          </cell>
          <cell r="K767" t="str">
            <v/>
          </cell>
          <cell r="L767" t="str">
            <v/>
          </cell>
          <cell r="N767">
            <v>0</v>
          </cell>
        </row>
        <row r="768">
          <cell r="B768">
            <v>205</v>
          </cell>
          <cell r="E768" t="str">
            <v/>
          </cell>
          <cell r="F768" t="str">
            <v/>
          </cell>
          <cell r="G768" t="str">
            <v/>
          </cell>
          <cell r="K768" t="str">
            <v/>
          </cell>
          <cell r="L768" t="str">
            <v/>
          </cell>
          <cell r="N768">
            <v>0</v>
          </cell>
        </row>
        <row r="769">
          <cell r="B769">
            <v>205</v>
          </cell>
          <cell r="E769" t="str">
            <v/>
          </cell>
          <cell r="F769" t="str">
            <v/>
          </cell>
          <cell r="G769" t="str">
            <v/>
          </cell>
          <cell r="K769" t="str">
            <v/>
          </cell>
          <cell r="L769" t="str">
            <v/>
          </cell>
          <cell r="N769">
            <v>0</v>
          </cell>
        </row>
        <row r="770">
          <cell r="B770">
            <v>205</v>
          </cell>
          <cell r="E770" t="str">
            <v/>
          </cell>
          <cell r="F770" t="str">
            <v/>
          </cell>
          <cell r="G770" t="str">
            <v/>
          </cell>
          <cell r="K770" t="str">
            <v/>
          </cell>
          <cell r="L770" t="str">
            <v/>
          </cell>
          <cell r="N770">
            <v>0</v>
          </cell>
        </row>
        <row r="771">
          <cell r="B771">
            <v>205</v>
          </cell>
          <cell r="E771" t="str">
            <v/>
          </cell>
          <cell r="F771" t="str">
            <v/>
          </cell>
          <cell r="G771" t="str">
            <v/>
          </cell>
          <cell r="K771" t="str">
            <v/>
          </cell>
          <cell r="L771" t="str">
            <v/>
          </cell>
          <cell r="N771">
            <v>0</v>
          </cell>
        </row>
        <row r="772">
          <cell r="B772">
            <v>205</v>
          </cell>
          <cell r="E772" t="str">
            <v/>
          </cell>
          <cell r="F772" t="str">
            <v/>
          </cell>
          <cell r="G772" t="str">
            <v/>
          </cell>
          <cell r="K772" t="str">
            <v/>
          </cell>
          <cell r="L772" t="str">
            <v/>
          </cell>
          <cell r="N772">
            <v>0</v>
          </cell>
        </row>
        <row r="773">
          <cell r="B773">
            <v>205</v>
          </cell>
          <cell r="E773" t="str">
            <v/>
          </cell>
          <cell r="F773" t="str">
            <v/>
          </cell>
          <cell r="G773" t="str">
            <v/>
          </cell>
          <cell r="K773" t="str">
            <v/>
          </cell>
          <cell r="L773" t="str">
            <v/>
          </cell>
          <cell r="N773">
            <v>0</v>
          </cell>
        </row>
        <row r="774">
          <cell r="B774">
            <v>205</v>
          </cell>
          <cell r="E774" t="str">
            <v/>
          </cell>
          <cell r="F774" t="str">
            <v/>
          </cell>
          <cell r="G774" t="str">
            <v/>
          </cell>
          <cell r="K774" t="str">
            <v/>
          </cell>
          <cell r="L774" t="str">
            <v/>
          </cell>
          <cell r="N774">
            <v>0</v>
          </cell>
        </row>
        <row r="775">
          <cell r="B775">
            <v>205</v>
          </cell>
          <cell r="E775" t="str">
            <v/>
          </cell>
          <cell r="F775" t="str">
            <v/>
          </cell>
          <cell r="G775" t="str">
            <v/>
          </cell>
          <cell r="K775" t="str">
            <v/>
          </cell>
          <cell r="L775" t="str">
            <v/>
          </cell>
          <cell r="N775">
            <v>0</v>
          </cell>
        </row>
        <row r="776">
          <cell r="B776">
            <v>205</v>
          </cell>
          <cell r="E776" t="str">
            <v/>
          </cell>
          <cell r="F776" t="str">
            <v/>
          </cell>
          <cell r="G776" t="str">
            <v/>
          </cell>
          <cell r="K776" t="str">
            <v/>
          </cell>
          <cell r="L776" t="str">
            <v/>
          </cell>
          <cell r="N776">
            <v>0</v>
          </cell>
        </row>
        <row r="777">
          <cell r="B777">
            <v>205</v>
          </cell>
          <cell r="E777" t="str">
            <v/>
          </cell>
          <cell r="F777" t="str">
            <v/>
          </cell>
          <cell r="G777" t="str">
            <v/>
          </cell>
          <cell r="K777" t="str">
            <v/>
          </cell>
          <cell r="L777" t="str">
            <v/>
          </cell>
          <cell r="N777">
            <v>0</v>
          </cell>
        </row>
        <row r="778">
          <cell r="B778">
            <v>205</v>
          </cell>
          <cell r="E778" t="str">
            <v/>
          </cell>
          <cell r="F778" t="str">
            <v/>
          </cell>
          <cell r="G778" t="str">
            <v/>
          </cell>
          <cell r="K778" t="str">
            <v/>
          </cell>
          <cell r="L778" t="str">
            <v/>
          </cell>
          <cell r="N778">
            <v>0</v>
          </cell>
        </row>
        <row r="779">
          <cell r="B779">
            <v>205</v>
          </cell>
          <cell r="E779" t="str">
            <v/>
          </cell>
          <cell r="F779" t="str">
            <v/>
          </cell>
          <cell r="G779" t="str">
            <v/>
          </cell>
          <cell r="K779" t="str">
            <v/>
          </cell>
          <cell r="L779" t="str">
            <v/>
          </cell>
          <cell r="N779">
            <v>0</v>
          </cell>
        </row>
        <row r="780">
          <cell r="B780">
            <v>205</v>
          </cell>
          <cell r="E780" t="str">
            <v/>
          </cell>
          <cell r="F780" t="str">
            <v/>
          </cell>
          <cell r="G780" t="str">
            <v/>
          </cell>
          <cell r="K780" t="str">
            <v/>
          </cell>
          <cell r="L780" t="str">
            <v/>
          </cell>
          <cell r="N780">
            <v>0</v>
          </cell>
        </row>
        <row r="781">
          <cell r="B781">
            <v>205</v>
          </cell>
          <cell r="E781" t="str">
            <v/>
          </cell>
          <cell r="F781" t="str">
            <v/>
          </cell>
          <cell r="G781" t="str">
            <v/>
          </cell>
          <cell r="K781" t="str">
            <v/>
          </cell>
          <cell r="L781" t="str">
            <v/>
          </cell>
          <cell r="N781">
            <v>0</v>
          </cell>
        </row>
        <row r="782">
          <cell r="B782">
            <v>205</v>
          </cell>
          <cell r="E782" t="str">
            <v/>
          </cell>
          <cell r="F782" t="str">
            <v/>
          </cell>
          <cell r="G782" t="str">
            <v/>
          </cell>
          <cell r="K782" t="str">
            <v/>
          </cell>
          <cell r="L782" t="str">
            <v/>
          </cell>
          <cell r="N782">
            <v>0</v>
          </cell>
        </row>
        <row r="783">
          <cell r="B783">
            <v>205</v>
          </cell>
          <cell r="E783" t="str">
            <v/>
          </cell>
          <cell r="F783" t="str">
            <v/>
          </cell>
          <cell r="G783" t="str">
            <v/>
          </cell>
          <cell r="K783" t="str">
            <v/>
          </cell>
          <cell r="L783" t="str">
            <v/>
          </cell>
          <cell r="N783">
            <v>0</v>
          </cell>
        </row>
        <row r="784">
          <cell r="B784">
            <v>205</v>
          </cell>
          <cell r="E784" t="str">
            <v/>
          </cell>
          <cell r="F784" t="str">
            <v/>
          </cell>
          <cell r="G784" t="str">
            <v/>
          </cell>
          <cell r="K784" t="str">
            <v/>
          </cell>
          <cell r="L784" t="str">
            <v/>
          </cell>
          <cell r="N784">
            <v>0</v>
          </cell>
        </row>
        <row r="785">
          <cell r="B785">
            <v>205</v>
          </cell>
          <cell r="E785" t="str">
            <v/>
          </cell>
          <cell r="F785" t="str">
            <v/>
          </cell>
          <cell r="G785" t="str">
            <v/>
          </cell>
          <cell r="K785" t="str">
            <v/>
          </cell>
          <cell r="L785" t="str">
            <v/>
          </cell>
          <cell r="N785">
            <v>0</v>
          </cell>
        </row>
        <row r="786">
          <cell r="B786">
            <v>205</v>
          </cell>
          <cell r="E786" t="str">
            <v/>
          </cell>
          <cell r="F786" t="str">
            <v/>
          </cell>
          <cell r="G786" t="str">
            <v/>
          </cell>
          <cell r="K786" t="str">
            <v/>
          </cell>
          <cell r="L786" t="str">
            <v/>
          </cell>
          <cell r="N786">
            <v>0</v>
          </cell>
        </row>
        <row r="787">
          <cell r="B787">
            <v>205</v>
          </cell>
          <cell r="E787" t="str">
            <v/>
          </cell>
          <cell r="F787" t="str">
            <v/>
          </cell>
          <cell r="G787" t="str">
            <v/>
          </cell>
          <cell r="K787" t="str">
            <v/>
          </cell>
          <cell r="L787" t="str">
            <v/>
          </cell>
          <cell r="N787">
            <v>0</v>
          </cell>
        </row>
        <row r="788">
          <cell r="B788">
            <v>205</v>
          </cell>
          <cell r="E788" t="str">
            <v/>
          </cell>
          <cell r="F788" t="str">
            <v/>
          </cell>
          <cell r="G788" t="str">
            <v/>
          </cell>
          <cell r="K788" t="str">
            <v/>
          </cell>
          <cell r="L788" t="str">
            <v/>
          </cell>
          <cell r="N788">
            <v>0</v>
          </cell>
        </row>
        <row r="789">
          <cell r="B789">
            <v>205</v>
          </cell>
          <cell r="E789" t="str">
            <v/>
          </cell>
          <cell r="F789" t="str">
            <v/>
          </cell>
          <cell r="G789" t="str">
            <v/>
          </cell>
          <cell r="K789" t="str">
            <v/>
          </cell>
          <cell r="L789" t="str">
            <v/>
          </cell>
          <cell r="N789">
            <v>0</v>
          </cell>
        </row>
        <row r="790">
          <cell r="B790">
            <v>205</v>
          </cell>
          <cell r="E790" t="str">
            <v/>
          </cell>
          <cell r="F790" t="str">
            <v/>
          </cell>
          <cell r="G790" t="str">
            <v/>
          </cell>
          <cell r="K790" t="str">
            <v/>
          </cell>
          <cell r="L790" t="str">
            <v/>
          </cell>
          <cell r="N790">
            <v>0</v>
          </cell>
        </row>
        <row r="791">
          <cell r="B791">
            <v>205</v>
          </cell>
          <cell r="E791" t="str">
            <v/>
          </cell>
          <cell r="F791" t="str">
            <v/>
          </cell>
          <cell r="G791" t="str">
            <v/>
          </cell>
          <cell r="K791" t="str">
            <v/>
          </cell>
          <cell r="L791" t="str">
            <v/>
          </cell>
          <cell r="N791">
            <v>0</v>
          </cell>
        </row>
        <row r="792">
          <cell r="B792">
            <v>205</v>
          </cell>
          <cell r="E792" t="str">
            <v/>
          </cell>
          <cell r="F792" t="str">
            <v/>
          </cell>
          <cell r="G792" t="str">
            <v/>
          </cell>
          <cell r="K792" t="str">
            <v/>
          </cell>
          <cell r="L792" t="str">
            <v/>
          </cell>
          <cell r="N792">
            <v>0</v>
          </cell>
        </row>
        <row r="793">
          <cell r="B793">
            <v>205</v>
          </cell>
          <cell r="E793" t="str">
            <v/>
          </cell>
          <cell r="F793" t="str">
            <v/>
          </cell>
          <cell r="G793" t="str">
            <v/>
          </cell>
          <cell r="K793" t="str">
            <v/>
          </cell>
          <cell r="L793" t="str">
            <v/>
          </cell>
          <cell r="N793">
            <v>0</v>
          </cell>
        </row>
        <row r="794">
          <cell r="B794">
            <v>205</v>
          </cell>
          <cell r="E794" t="str">
            <v/>
          </cell>
          <cell r="F794" t="str">
            <v/>
          </cell>
          <cell r="G794" t="str">
            <v/>
          </cell>
          <cell r="K794" t="str">
            <v/>
          </cell>
          <cell r="L794" t="str">
            <v/>
          </cell>
          <cell r="N794">
            <v>0</v>
          </cell>
        </row>
        <row r="795">
          <cell r="B795">
            <v>205</v>
          </cell>
          <cell r="E795" t="str">
            <v/>
          </cell>
          <cell r="F795" t="str">
            <v/>
          </cell>
          <cell r="G795" t="str">
            <v/>
          </cell>
          <cell r="K795" t="str">
            <v/>
          </cell>
          <cell r="L795" t="str">
            <v/>
          </cell>
          <cell r="N795">
            <v>0</v>
          </cell>
        </row>
        <row r="796">
          <cell r="B796">
            <v>205</v>
          </cell>
          <cell r="E796" t="str">
            <v/>
          </cell>
          <cell r="F796" t="str">
            <v/>
          </cell>
          <cell r="G796" t="str">
            <v/>
          </cell>
          <cell r="K796" t="str">
            <v/>
          </cell>
          <cell r="L796" t="str">
            <v/>
          </cell>
          <cell r="N796">
            <v>0</v>
          </cell>
        </row>
        <row r="797">
          <cell r="B797">
            <v>205</v>
          </cell>
          <cell r="E797" t="str">
            <v/>
          </cell>
          <cell r="F797" t="str">
            <v/>
          </cell>
          <cell r="G797" t="str">
            <v/>
          </cell>
          <cell r="K797" t="str">
            <v/>
          </cell>
          <cell r="L797" t="str">
            <v/>
          </cell>
          <cell r="N797">
            <v>0</v>
          </cell>
        </row>
        <row r="798">
          <cell r="B798">
            <v>205</v>
          </cell>
          <cell r="E798" t="str">
            <v/>
          </cell>
          <cell r="F798" t="str">
            <v/>
          </cell>
          <cell r="G798" t="str">
            <v/>
          </cell>
          <cell r="K798" t="str">
            <v/>
          </cell>
          <cell r="L798" t="str">
            <v/>
          </cell>
          <cell r="N798">
            <v>0</v>
          </cell>
        </row>
        <row r="799">
          <cell r="B799">
            <v>205</v>
          </cell>
          <cell r="E799" t="str">
            <v/>
          </cell>
          <cell r="F799" t="str">
            <v/>
          </cell>
          <cell r="G799" t="str">
            <v/>
          </cell>
          <cell r="K799" t="str">
            <v/>
          </cell>
          <cell r="L799" t="str">
            <v/>
          </cell>
          <cell r="N799">
            <v>0</v>
          </cell>
        </row>
        <row r="800">
          <cell r="B800">
            <v>205</v>
          </cell>
          <cell r="E800" t="str">
            <v/>
          </cell>
          <cell r="F800" t="str">
            <v/>
          </cell>
          <cell r="G800" t="str">
            <v/>
          </cell>
          <cell r="K800" t="str">
            <v/>
          </cell>
          <cell r="L800" t="str">
            <v/>
          </cell>
          <cell r="N800">
            <v>0</v>
          </cell>
        </row>
        <row r="801">
          <cell r="B801">
            <v>205</v>
          </cell>
          <cell r="E801" t="str">
            <v/>
          </cell>
          <cell r="F801" t="str">
            <v/>
          </cell>
          <cell r="G801" t="str">
            <v/>
          </cell>
          <cell r="K801" t="str">
            <v/>
          </cell>
          <cell r="L801" t="str">
            <v/>
          </cell>
          <cell r="N801">
            <v>0</v>
          </cell>
        </row>
        <row r="802">
          <cell r="B802">
            <v>205</v>
          </cell>
          <cell r="E802" t="str">
            <v/>
          </cell>
          <cell r="F802" t="str">
            <v/>
          </cell>
          <cell r="G802" t="str">
            <v/>
          </cell>
          <cell r="K802" t="str">
            <v/>
          </cell>
          <cell r="L802" t="str">
            <v/>
          </cell>
          <cell r="N802">
            <v>0</v>
          </cell>
        </row>
        <row r="803">
          <cell r="B803">
            <v>205</v>
          </cell>
          <cell r="E803" t="str">
            <v/>
          </cell>
          <cell r="F803" t="str">
            <v/>
          </cell>
          <cell r="G803" t="str">
            <v/>
          </cell>
          <cell r="K803" t="str">
            <v/>
          </cell>
          <cell r="L803" t="str">
            <v/>
          </cell>
          <cell r="N803">
            <v>0</v>
          </cell>
        </row>
        <row r="804">
          <cell r="B804">
            <v>205</v>
          </cell>
          <cell r="E804" t="str">
            <v/>
          </cell>
          <cell r="F804" t="str">
            <v/>
          </cell>
          <cell r="G804" t="str">
            <v/>
          </cell>
          <cell r="K804" t="str">
            <v/>
          </cell>
          <cell r="L804" t="str">
            <v/>
          </cell>
          <cell r="N804">
            <v>0</v>
          </cell>
        </row>
        <row r="805">
          <cell r="B805">
            <v>205</v>
          </cell>
          <cell r="E805" t="str">
            <v/>
          </cell>
          <cell r="F805" t="str">
            <v/>
          </cell>
          <cell r="G805" t="str">
            <v/>
          </cell>
          <cell r="K805" t="str">
            <v/>
          </cell>
          <cell r="L805" t="str">
            <v/>
          </cell>
          <cell r="N805">
            <v>0</v>
          </cell>
        </row>
        <row r="806">
          <cell r="B806">
            <v>205</v>
          </cell>
          <cell r="E806" t="str">
            <v/>
          </cell>
          <cell r="F806" t="str">
            <v/>
          </cell>
          <cell r="G806" t="str">
            <v/>
          </cell>
          <cell r="K806" t="str">
            <v/>
          </cell>
          <cell r="L806" t="str">
            <v/>
          </cell>
          <cell r="N806">
            <v>0</v>
          </cell>
        </row>
        <row r="807">
          <cell r="B807">
            <v>205</v>
          </cell>
          <cell r="E807" t="str">
            <v/>
          </cell>
          <cell r="F807" t="str">
            <v/>
          </cell>
          <cell r="G807" t="str">
            <v/>
          </cell>
          <cell r="K807" t="str">
            <v/>
          </cell>
          <cell r="L807" t="str">
            <v/>
          </cell>
          <cell r="N807">
            <v>0</v>
          </cell>
        </row>
        <row r="808">
          <cell r="B808">
            <v>205</v>
          </cell>
          <cell r="E808" t="str">
            <v/>
          </cell>
          <cell r="F808" t="str">
            <v/>
          </cell>
          <cell r="G808" t="str">
            <v/>
          </cell>
          <cell r="K808" t="str">
            <v/>
          </cell>
          <cell r="L808" t="str">
            <v/>
          </cell>
          <cell r="N808">
            <v>0</v>
          </cell>
        </row>
        <row r="809">
          <cell r="B809">
            <v>205</v>
          </cell>
          <cell r="E809" t="str">
            <v/>
          </cell>
          <cell r="F809" t="str">
            <v/>
          </cell>
          <cell r="G809" t="str">
            <v/>
          </cell>
          <cell r="K809" t="str">
            <v/>
          </cell>
          <cell r="L809" t="str">
            <v/>
          </cell>
          <cell r="N809">
            <v>0</v>
          </cell>
        </row>
        <row r="810">
          <cell r="B810">
            <v>205</v>
          </cell>
          <cell r="E810" t="str">
            <v/>
          </cell>
          <cell r="F810" t="str">
            <v/>
          </cell>
          <cell r="G810" t="str">
            <v/>
          </cell>
          <cell r="K810" t="str">
            <v/>
          </cell>
          <cell r="L810" t="str">
            <v/>
          </cell>
          <cell r="N810">
            <v>0</v>
          </cell>
        </row>
        <row r="811">
          <cell r="B811">
            <v>205</v>
          </cell>
          <cell r="E811" t="str">
            <v/>
          </cell>
          <cell r="F811" t="str">
            <v/>
          </cell>
          <cell r="G811" t="str">
            <v/>
          </cell>
          <cell r="K811" t="str">
            <v/>
          </cell>
          <cell r="L811" t="str">
            <v/>
          </cell>
          <cell r="N811">
            <v>0</v>
          </cell>
        </row>
        <row r="812">
          <cell r="B812">
            <v>205</v>
          </cell>
          <cell r="E812" t="str">
            <v/>
          </cell>
          <cell r="F812" t="str">
            <v/>
          </cell>
          <cell r="G812" t="str">
            <v/>
          </cell>
          <cell r="K812" t="str">
            <v/>
          </cell>
          <cell r="L812" t="str">
            <v/>
          </cell>
          <cell r="N812">
            <v>0</v>
          </cell>
        </row>
        <row r="813">
          <cell r="B813">
            <v>205</v>
          </cell>
          <cell r="E813" t="str">
            <v/>
          </cell>
          <cell r="F813" t="str">
            <v/>
          </cell>
          <cell r="G813" t="str">
            <v/>
          </cell>
          <cell r="K813" t="str">
            <v/>
          </cell>
          <cell r="L813" t="str">
            <v/>
          </cell>
          <cell r="N813">
            <v>0</v>
          </cell>
        </row>
        <row r="814">
          <cell r="B814">
            <v>205</v>
          </cell>
          <cell r="E814" t="str">
            <v/>
          </cell>
          <cell r="F814" t="str">
            <v/>
          </cell>
          <cell r="G814" t="str">
            <v/>
          </cell>
          <cell r="K814" t="str">
            <v/>
          </cell>
          <cell r="L814" t="str">
            <v/>
          </cell>
          <cell r="N814">
            <v>0</v>
          </cell>
        </row>
        <row r="815">
          <cell r="B815">
            <v>205</v>
          </cell>
          <cell r="E815" t="str">
            <v/>
          </cell>
          <cell r="F815" t="str">
            <v/>
          </cell>
          <cell r="G815" t="str">
            <v/>
          </cell>
          <cell r="K815" t="str">
            <v/>
          </cell>
          <cell r="L815" t="str">
            <v/>
          </cell>
          <cell r="N815">
            <v>0</v>
          </cell>
        </row>
        <row r="816">
          <cell r="B816">
            <v>205</v>
          </cell>
          <cell r="E816" t="str">
            <v/>
          </cell>
          <cell r="F816" t="str">
            <v/>
          </cell>
          <cell r="G816" t="str">
            <v/>
          </cell>
          <cell r="K816" t="str">
            <v/>
          </cell>
          <cell r="L816" t="str">
            <v/>
          </cell>
          <cell r="N816">
            <v>0</v>
          </cell>
        </row>
        <row r="817">
          <cell r="B817">
            <v>205</v>
          </cell>
          <cell r="E817" t="str">
            <v/>
          </cell>
          <cell r="F817" t="str">
            <v/>
          </cell>
          <cell r="G817" t="str">
            <v/>
          </cell>
          <cell r="K817" t="str">
            <v/>
          </cell>
          <cell r="L817" t="str">
            <v/>
          </cell>
          <cell r="N817">
            <v>0</v>
          </cell>
        </row>
        <row r="818">
          <cell r="B818">
            <v>205</v>
          </cell>
          <cell r="E818" t="str">
            <v/>
          </cell>
          <cell r="F818" t="str">
            <v/>
          </cell>
          <cell r="G818" t="str">
            <v/>
          </cell>
          <cell r="K818" t="str">
            <v/>
          </cell>
          <cell r="L818" t="str">
            <v/>
          </cell>
          <cell r="N818">
            <v>0</v>
          </cell>
        </row>
        <row r="819">
          <cell r="B819">
            <v>205</v>
          </cell>
          <cell r="E819" t="str">
            <v/>
          </cell>
          <cell r="F819" t="str">
            <v/>
          </cell>
          <cell r="G819" t="str">
            <v/>
          </cell>
          <cell r="K819" t="str">
            <v/>
          </cell>
          <cell r="L819" t="str">
            <v/>
          </cell>
          <cell r="N819">
            <v>0</v>
          </cell>
        </row>
        <row r="820">
          <cell r="B820">
            <v>205</v>
          </cell>
          <cell r="E820" t="str">
            <v/>
          </cell>
          <cell r="F820" t="str">
            <v/>
          </cell>
          <cell r="G820" t="str">
            <v/>
          </cell>
          <cell r="K820" t="str">
            <v/>
          </cell>
          <cell r="L820" t="str">
            <v/>
          </cell>
          <cell r="N820">
            <v>0</v>
          </cell>
        </row>
        <row r="821">
          <cell r="B821">
            <v>205</v>
          </cell>
          <cell r="E821" t="str">
            <v/>
          </cell>
          <cell r="F821" t="str">
            <v/>
          </cell>
          <cell r="G821" t="str">
            <v/>
          </cell>
          <cell r="K821" t="str">
            <v/>
          </cell>
          <cell r="L821" t="str">
            <v/>
          </cell>
          <cell r="N821">
            <v>0</v>
          </cell>
        </row>
        <row r="822">
          <cell r="B822">
            <v>205</v>
          </cell>
          <cell r="E822" t="str">
            <v/>
          </cell>
          <cell r="F822" t="str">
            <v/>
          </cell>
          <cell r="G822" t="str">
            <v/>
          </cell>
          <cell r="K822" t="str">
            <v/>
          </cell>
          <cell r="L822" t="str">
            <v/>
          </cell>
          <cell r="N822">
            <v>0</v>
          </cell>
        </row>
        <row r="823">
          <cell r="B823">
            <v>205</v>
          </cell>
          <cell r="E823" t="str">
            <v/>
          </cell>
          <cell r="F823" t="str">
            <v/>
          </cell>
          <cell r="G823" t="str">
            <v/>
          </cell>
          <cell r="K823" t="str">
            <v/>
          </cell>
          <cell r="L823" t="str">
            <v/>
          </cell>
          <cell r="N823">
            <v>0</v>
          </cell>
        </row>
        <row r="824">
          <cell r="B824">
            <v>205</v>
          </cell>
          <cell r="E824" t="str">
            <v/>
          </cell>
          <cell r="F824" t="str">
            <v/>
          </cell>
          <cell r="G824" t="str">
            <v/>
          </cell>
          <cell r="K824" t="str">
            <v/>
          </cell>
          <cell r="L824" t="str">
            <v/>
          </cell>
          <cell r="N824">
            <v>0</v>
          </cell>
        </row>
        <row r="825">
          <cell r="B825">
            <v>205</v>
          </cell>
          <cell r="E825" t="str">
            <v/>
          </cell>
          <cell r="F825" t="str">
            <v/>
          </cell>
          <cell r="G825" t="str">
            <v/>
          </cell>
          <cell r="K825" t="str">
            <v/>
          </cell>
          <cell r="L825" t="str">
            <v/>
          </cell>
          <cell r="N825">
            <v>0</v>
          </cell>
        </row>
        <row r="826">
          <cell r="B826">
            <v>205</v>
          </cell>
          <cell r="E826" t="str">
            <v/>
          </cell>
          <cell r="F826" t="str">
            <v/>
          </cell>
          <cell r="G826" t="str">
            <v/>
          </cell>
          <cell r="K826" t="str">
            <v/>
          </cell>
          <cell r="L826" t="str">
            <v/>
          </cell>
          <cell r="N826">
            <v>0</v>
          </cell>
        </row>
        <row r="827">
          <cell r="B827">
            <v>205</v>
          </cell>
          <cell r="E827" t="str">
            <v/>
          </cell>
          <cell r="F827" t="str">
            <v/>
          </cell>
          <cell r="G827" t="str">
            <v/>
          </cell>
          <cell r="K827" t="str">
            <v/>
          </cell>
          <cell r="L827" t="str">
            <v/>
          </cell>
          <cell r="N827">
            <v>0</v>
          </cell>
        </row>
        <row r="828">
          <cell r="B828">
            <v>205</v>
          </cell>
          <cell r="E828" t="str">
            <v/>
          </cell>
          <cell r="F828" t="str">
            <v/>
          </cell>
          <cell r="G828" t="str">
            <v/>
          </cell>
          <cell r="K828" t="str">
            <v/>
          </cell>
          <cell r="L828" t="str">
            <v/>
          </cell>
          <cell r="N828">
            <v>0</v>
          </cell>
        </row>
        <row r="829">
          <cell r="B829">
            <v>205</v>
          </cell>
          <cell r="E829" t="str">
            <v/>
          </cell>
          <cell r="F829" t="str">
            <v/>
          </cell>
          <cell r="G829" t="str">
            <v/>
          </cell>
          <cell r="K829" t="str">
            <v/>
          </cell>
          <cell r="L829" t="str">
            <v/>
          </cell>
          <cell r="N829">
            <v>0</v>
          </cell>
        </row>
        <row r="830">
          <cell r="B830">
            <v>205</v>
          </cell>
          <cell r="E830" t="str">
            <v/>
          </cell>
          <cell r="F830" t="str">
            <v/>
          </cell>
          <cell r="G830" t="str">
            <v/>
          </cell>
          <cell r="K830" t="str">
            <v/>
          </cell>
          <cell r="L830" t="str">
            <v/>
          </cell>
          <cell r="N830">
            <v>0</v>
          </cell>
        </row>
        <row r="831">
          <cell r="B831">
            <v>205</v>
          </cell>
          <cell r="E831" t="str">
            <v/>
          </cell>
          <cell r="F831" t="str">
            <v/>
          </cell>
          <cell r="G831" t="str">
            <v/>
          </cell>
          <cell r="K831" t="str">
            <v/>
          </cell>
          <cell r="L831" t="str">
            <v/>
          </cell>
          <cell r="N831">
            <v>0</v>
          </cell>
        </row>
        <row r="832">
          <cell r="B832">
            <v>205</v>
          </cell>
          <cell r="E832" t="str">
            <v/>
          </cell>
          <cell r="F832" t="str">
            <v/>
          </cell>
          <cell r="G832" t="str">
            <v/>
          </cell>
          <cell r="K832" t="str">
            <v/>
          </cell>
          <cell r="L832" t="str">
            <v/>
          </cell>
          <cell r="N832">
            <v>0</v>
          </cell>
        </row>
        <row r="833">
          <cell r="B833">
            <v>205</v>
          </cell>
          <cell r="E833" t="str">
            <v/>
          </cell>
          <cell r="F833" t="str">
            <v/>
          </cell>
          <cell r="G833" t="str">
            <v/>
          </cell>
          <cell r="K833" t="str">
            <v/>
          </cell>
          <cell r="L833" t="str">
            <v/>
          </cell>
          <cell r="N833">
            <v>0</v>
          </cell>
        </row>
        <row r="834">
          <cell r="B834">
            <v>205</v>
          </cell>
          <cell r="E834" t="str">
            <v/>
          </cell>
          <cell r="F834" t="str">
            <v/>
          </cell>
          <cell r="G834" t="str">
            <v/>
          </cell>
          <cell r="K834" t="str">
            <v/>
          </cell>
          <cell r="L834" t="str">
            <v/>
          </cell>
          <cell r="N834">
            <v>0</v>
          </cell>
        </row>
        <row r="835">
          <cell r="B835">
            <v>205</v>
          </cell>
          <cell r="E835" t="str">
            <v/>
          </cell>
          <cell r="F835" t="str">
            <v/>
          </cell>
          <cell r="G835" t="str">
            <v/>
          </cell>
          <cell r="K835" t="str">
            <v/>
          </cell>
          <cell r="L835" t="str">
            <v/>
          </cell>
          <cell r="N835">
            <v>0</v>
          </cell>
        </row>
        <row r="836">
          <cell r="B836">
            <v>205</v>
          </cell>
          <cell r="E836" t="str">
            <v/>
          </cell>
          <cell r="F836" t="str">
            <v/>
          </cell>
          <cell r="G836" t="str">
            <v/>
          </cell>
          <cell r="K836" t="str">
            <v/>
          </cell>
          <cell r="L836" t="str">
            <v/>
          </cell>
          <cell r="N836">
            <v>0</v>
          </cell>
        </row>
        <row r="837">
          <cell r="B837">
            <v>205</v>
          </cell>
          <cell r="E837" t="str">
            <v/>
          </cell>
          <cell r="F837" t="str">
            <v/>
          </cell>
          <cell r="G837" t="str">
            <v/>
          </cell>
          <cell r="K837" t="str">
            <v/>
          </cell>
          <cell r="L837" t="str">
            <v/>
          </cell>
          <cell r="N837">
            <v>0</v>
          </cell>
        </row>
        <row r="838">
          <cell r="B838">
            <v>205</v>
          </cell>
          <cell r="E838" t="str">
            <v/>
          </cell>
          <cell r="F838" t="str">
            <v/>
          </cell>
          <cell r="G838" t="str">
            <v/>
          </cell>
          <cell r="K838" t="str">
            <v/>
          </cell>
          <cell r="L838" t="str">
            <v/>
          </cell>
          <cell r="N838">
            <v>0</v>
          </cell>
        </row>
        <row r="839">
          <cell r="B839">
            <v>205</v>
          </cell>
          <cell r="E839" t="str">
            <v/>
          </cell>
          <cell r="F839" t="str">
            <v/>
          </cell>
          <cell r="G839" t="str">
            <v/>
          </cell>
          <cell r="K839" t="str">
            <v/>
          </cell>
          <cell r="L839" t="str">
            <v/>
          </cell>
          <cell r="N839">
            <v>0</v>
          </cell>
        </row>
        <row r="840">
          <cell r="B840">
            <v>205</v>
          </cell>
          <cell r="E840" t="str">
            <v/>
          </cell>
          <cell r="F840" t="str">
            <v/>
          </cell>
          <cell r="G840" t="str">
            <v/>
          </cell>
          <cell r="K840" t="str">
            <v/>
          </cell>
          <cell r="L840" t="str">
            <v/>
          </cell>
          <cell r="N840">
            <v>0</v>
          </cell>
        </row>
        <row r="841">
          <cell r="B841">
            <v>205</v>
          </cell>
          <cell r="E841" t="str">
            <v/>
          </cell>
          <cell r="F841" t="str">
            <v/>
          </cell>
          <cell r="G841" t="str">
            <v/>
          </cell>
          <cell r="K841" t="str">
            <v/>
          </cell>
          <cell r="L841" t="str">
            <v/>
          </cell>
          <cell r="N841">
            <v>0</v>
          </cell>
        </row>
        <row r="842">
          <cell r="B842">
            <v>205</v>
          </cell>
          <cell r="E842" t="str">
            <v/>
          </cell>
          <cell r="F842" t="str">
            <v/>
          </cell>
          <cell r="G842" t="str">
            <v/>
          </cell>
          <cell r="K842" t="str">
            <v/>
          </cell>
          <cell r="L842" t="str">
            <v/>
          </cell>
          <cell r="N842">
            <v>0</v>
          </cell>
        </row>
        <row r="843">
          <cell r="B843">
            <v>205</v>
          </cell>
          <cell r="E843" t="str">
            <v/>
          </cell>
          <cell r="F843" t="str">
            <v/>
          </cell>
          <cell r="G843" t="str">
            <v/>
          </cell>
          <cell r="K843" t="str">
            <v/>
          </cell>
          <cell r="L843" t="str">
            <v/>
          </cell>
          <cell r="N843">
            <v>0</v>
          </cell>
        </row>
        <row r="844">
          <cell r="B844">
            <v>205</v>
          </cell>
          <cell r="E844" t="str">
            <v/>
          </cell>
          <cell r="F844" t="str">
            <v/>
          </cell>
          <cell r="G844" t="str">
            <v/>
          </cell>
          <cell r="K844" t="str">
            <v/>
          </cell>
          <cell r="L844" t="str">
            <v/>
          </cell>
          <cell r="N844">
            <v>0</v>
          </cell>
        </row>
        <row r="845">
          <cell r="B845">
            <v>205</v>
          </cell>
          <cell r="E845" t="str">
            <v/>
          </cell>
          <cell r="F845" t="str">
            <v/>
          </cell>
          <cell r="G845" t="str">
            <v/>
          </cell>
          <cell r="K845" t="str">
            <v/>
          </cell>
          <cell r="L845" t="str">
            <v/>
          </cell>
          <cell r="N845">
            <v>0</v>
          </cell>
        </row>
        <row r="846">
          <cell r="B846">
            <v>205</v>
          </cell>
          <cell r="E846" t="str">
            <v/>
          </cell>
          <cell r="F846" t="str">
            <v/>
          </cell>
          <cell r="G846" t="str">
            <v/>
          </cell>
          <cell r="K846" t="str">
            <v/>
          </cell>
          <cell r="L846" t="str">
            <v/>
          </cell>
          <cell r="N846">
            <v>0</v>
          </cell>
        </row>
        <row r="847">
          <cell r="B847">
            <v>205</v>
          </cell>
          <cell r="E847" t="str">
            <v/>
          </cell>
          <cell r="F847" t="str">
            <v/>
          </cell>
          <cell r="G847" t="str">
            <v/>
          </cell>
          <cell r="K847" t="str">
            <v/>
          </cell>
          <cell r="L847" t="str">
            <v/>
          </cell>
          <cell r="N847">
            <v>0</v>
          </cell>
        </row>
        <row r="848">
          <cell r="B848">
            <v>205</v>
          </cell>
          <cell r="E848" t="str">
            <v/>
          </cell>
          <cell r="F848" t="str">
            <v/>
          </cell>
          <cell r="G848" t="str">
            <v/>
          </cell>
          <cell r="K848" t="str">
            <v/>
          </cell>
          <cell r="L848" t="str">
            <v/>
          </cell>
          <cell r="N848">
            <v>0</v>
          </cell>
        </row>
        <row r="849">
          <cell r="B849">
            <v>205</v>
          </cell>
          <cell r="E849" t="str">
            <v/>
          </cell>
          <cell r="F849" t="str">
            <v/>
          </cell>
          <cell r="G849" t="str">
            <v/>
          </cell>
          <cell r="K849" t="str">
            <v/>
          </cell>
          <cell r="L849" t="str">
            <v/>
          </cell>
          <cell r="N849">
            <v>0</v>
          </cell>
        </row>
        <row r="850">
          <cell r="B850">
            <v>205</v>
          </cell>
          <cell r="E850" t="str">
            <v/>
          </cell>
          <cell r="F850" t="str">
            <v/>
          </cell>
          <cell r="G850" t="str">
            <v/>
          </cell>
          <cell r="K850" t="str">
            <v/>
          </cell>
          <cell r="L850" t="str">
            <v/>
          </cell>
          <cell r="N850">
            <v>0</v>
          </cell>
        </row>
        <row r="851">
          <cell r="B851">
            <v>205</v>
          </cell>
          <cell r="E851" t="str">
            <v/>
          </cell>
          <cell r="F851" t="str">
            <v/>
          </cell>
          <cell r="G851" t="str">
            <v/>
          </cell>
          <cell r="K851" t="str">
            <v/>
          </cell>
          <cell r="L851" t="str">
            <v/>
          </cell>
          <cell r="N851">
            <v>0</v>
          </cell>
        </row>
        <row r="852">
          <cell r="B852">
            <v>205</v>
          </cell>
          <cell r="E852" t="str">
            <v/>
          </cell>
          <cell r="F852" t="str">
            <v/>
          </cell>
          <cell r="G852" t="str">
            <v/>
          </cell>
          <cell r="K852" t="str">
            <v/>
          </cell>
          <cell r="L852" t="str">
            <v/>
          </cell>
          <cell r="N852">
            <v>0</v>
          </cell>
        </row>
        <row r="853">
          <cell r="B853">
            <v>205</v>
          </cell>
          <cell r="E853" t="str">
            <v/>
          </cell>
          <cell r="F853" t="str">
            <v/>
          </cell>
          <cell r="G853" t="str">
            <v/>
          </cell>
          <cell r="K853" t="str">
            <v/>
          </cell>
          <cell r="L853" t="str">
            <v/>
          </cell>
          <cell r="N853">
            <v>0</v>
          </cell>
        </row>
        <row r="854">
          <cell r="B854">
            <v>205</v>
          </cell>
          <cell r="E854" t="str">
            <v/>
          </cell>
          <cell r="F854" t="str">
            <v/>
          </cell>
          <cell r="G854" t="str">
            <v/>
          </cell>
          <cell r="K854" t="str">
            <v/>
          </cell>
          <cell r="L854" t="str">
            <v/>
          </cell>
          <cell r="N854">
            <v>0</v>
          </cell>
        </row>
        <row r="855">
          <cell r="B855">
            <v>205</v>
          </cell>
          <cell r="E855" t="str">
            <v/>
          </cell>
          <cell r="F855" t="str">
            <v/>
          </cell>
          <cell r="G855" t="str">
            <v/>
          </cell>
          <cell r="K855" t="str">
            <v/>
          </cell>
          <cell r="L855" t="str">
            <v/>
          </cell>
          <cell r="N855">
            <v>0</v>
          </cell>
        </row>
        <row r="856">
          <cell r="B856">
            <v>205</v>
          </cell>
          <cell r="E856" t="str">
            <v/>
          </cell>
          <cell r="F856" t="str">
            <v/>
          </cell>
          <cell r="G856" t="str">
            <v/>
          </cell>
          <cell r="K856" t="str">
            <v/>
          </cell>
          <cell r="L856" t="str">
            <v/>
          </cell>
          <cell r="N856">
            <v>0</v>
          </cell>
        </row>
        <row r="857">
          <cell r="B857">
            <v>205</v>
          </cell>
          <cell r="E857" t="str">
            <v/>
          </cell>
          <cell r="F857" t="str">
            <v/>
          </cell>
          <cell r="G857" t="str">
            <v/>
          </cell>
          <cell r="K857" t="str">
            <v/>
          </cell>
          <cell r="L857" t="str">
            <v/>
          </cell>
          <cell r="N857">
            <v>0</v>
          </cell>
        </row>
        <row r="858">
          <cell r="B858">
            <v>205</v>
          </cell>
          <cell r="E858" t="str">
            <v/>
          </cell>
          <cell r="F858" t="str">
            <v/>
          </cell>
          <cell r="G858" t="str">
            <v/>
          </cell>
          <cell r="K858" t="str">
            <v/>
          </cell>
          <cell r="L858" t="str">
            <v/>
          </cell>
          <cell r="N858">
            <v>0</v>
          </cell>
        </row>
        <row r="859">
          <cell r="B859">
            <v>205</v>
          </cell>
          <cell r="E859" t="str">
            <v/>
          </cell>
          <cell r="F859" t="str">
            <v/>
          </cell>
          <cell r="G859" t="str">
            <v/>
          </cell>
          <cell r="K859" t="str">
            <v/>
          </cell>
          <cell r="L859" t="str">
            <v/>
          </cell>
          <cell r="N859">
            <v>0</v>
          </cell>
        </row>
        <row r="860">
          <cell r="B860">
            <v>205</v>
          </cell>
          <cell r="E860" t="str">
            <v/>
          </cell>
          <cell r="F860" t="str">
            <v/>
          </cell>
          <cell r="G860" t="str">
            <v/>
          </cell>
          <cell r="K860" t="str">
            <v/>
          </cell>
          <cell r="L860" t="str">
            <v/>
          </cell>
          <cell r="N860">
            <v>0</v>
          </cell>
        </row>
        <row r="861">
          <cell r="B861">
            <v>205</v>
          </cell>
          <cell r="E861" t="str">
            <v/>
          </cell>
          <cell r="F861" t="str">
            <v/>
          </cell>
          <cell r="G861" t="str">
            <v/>
          </cell>
          <cell r="K861" t="str">
            <v/>
          </cell>
          <cell r="L861" t="str">
            <v/>
          </cell>
          <cell r="N861">
            <v>0</v>
          </cell>
        </row>
        <row r="862">
          <cell r="B862">
            <v>205</v>
          </cell>
          <cell r="E862" t="str">
            <v/>
          </cell>
          <cell r="F862" t="str">
            <v/>
          </cell>
          <cell r="G862" t="str">
            <v/>
          </cell>
          <cell r="K862" t="str">
            <v/>
          </cell>
          <cell r="L862" t="str">
            <v/>
          </cell>
          <cell r="N862">
            <v>0</v>
          </cell>
        </row>
        <row r="863">
          <cell r="B863">
            <v>205</v>
          </cell>
          <cell r="E863" t="str">
            <v/>
          </cell>
          <cell r="F863" t="str">
            <v/>
          </cell>
          <cell r="G863" t="str">
            <v/>
          </cell>
          <cell r="K863" t="str">
            <v/>
          </cell>
          <cell r="L863" t="str">
            <v/>
          </cell>
          <cell r="N863">
            <v>0</v>
          </cell>
        </row>
        <row r="864">
          <cell r="B864">
            <v>205</v>
          </cell>
          <cell r="E864" t="str">
            <v/>
          </cell>
          <cell r="F864" t="str">
            <v/>
          </cell>
          <cell r="G864" t="str">
            <v/>
          </cell>
          <cell r="K864" t="str">
            <v/>
          </cell>
          <cell r="L864" t="str">
            <v/>
          </cell>
          <cell r="N864">
            <v>0</v>
          </cell>
        </row>
        <row r="865">
          <cell r="B865">
            <v>205</v>
          </cell>
          <cell r="E865" t="str">
            <v/>
          </cell>
          <cell r="F865" t="str">
            <v/>
          </cell>
          <cell r="G865" t="str">
            <v/>
          </cell>
          <cell r="K865" t="str">
            <v/>
          </cell>
          <cell r="L865" t="str">
            <v/>
          </cell>
          <cell r="N865">
            <v>0</v>
          </cell>
        </row>
        <row r="866">
          <cell r="B866">
            <v>205</v>
          </cell>
          <cell r="E866" t="str">
            <v/>
          </cell>
          <cell r="F866" t="str">
            <v/>
          </cell>
          <cell r="G866" t="str">
            <v/>
          </cell>
          <cell r="K866" t="str">
            <v/>
          </cell>
          <cell r="L866" t="str">
            <v/>
          </cell>
          <cell r="N866">
            <v>0</v>
          </cell>
        </row>
        <row r="867">
          <cell r="B867">
            <v>205</v>
          </cell>
          <cell r="E867" t="str">
            <v/>
          </cell>
          <cell r="F867" t="str">
            <v/>
          </cell>
          <cell r="G867" t="str">
            <v/>
          </cell>
          <cell r="K867" t="str">
            <v/>
          </cell>
          <cell r="L867" t="str">
            <v/>
          </cell>
          <cell r="N867">
            <v>0</v>
          </cell>
        </row>
        <row r="868">
          <cell r="B868">
            <v>205</v>
          </cell>
          <cell r="E868" t="str">
            <v/>
          </cell>
          <cell r="F868" t="str">
            <v/>
          </cell>
          <cell r="G868" t="str">
            <v/>
          </cell>
          <cell r="K868" t="str">
            <v/>
          </cell>
          <cell r="L868" t="str">
            <v/>
          </cell>
          <cell r="N868">
            <v>0</v>
          </cell>
        </row>
        <row r="869">
          <cell r="B869">
            <v>205</v>
          </cell>
          <cell r="E869" t="str">
            <v/>
          </cell>
          <cell r="F869" t="str">
            <v/>
          </cell>
          <cell r="G869" t="str">
            <v/>
          </cell>
          <cell r="K869" t="str">
            <v/>
          </cell>
          <cell r="L869" t="str">
            <v/>
          </cell>
          <cell r="N869">
            <v>0</v>
          </cell>
        </row>
        <row r="870">
          <cell r="B870">
            <v>205</v>
          </cell>
          <cell r="E870" t="str">
            <v/>
          </cell>
          <cell r="F870" t="str">
            <v/>
          </cell>
          <cell r="G870" t="str">
            <v/>
          </cell>
          <cell r="K870" t="str">
            <v/>
          </cell>
          <cell r="L870" t="str">
            <v/>
          </cell>
          <cell r="N870">
            <v>0</v>
          </cell>
        </row>
        <row r="871">
          <cell r="B871">
            <v>205</v>
          </cell>
          <cell r="E871" t="str">
            <v/>
          </cell>
          <cell r="F871" t="str">
            <v/>
          </cell>
          <cell r="G871" t="str">
            <v/>
          </cell>
          <cell r="K871" t="str">
            <v/>
          </cell>
          <cell r="L871" t="str">
            <v/>
          </cell>
          <cell r="N871">
            <v>0</v>
          </cell>
        </row>
        <row r="872">
          <cell r="B872">
            <v>205</v>
          </cell>
          <cell r="E872" t="str">
            <v/>
          </cell>
          <cell r="F872" t="str">
            <v/>
          </cell>
          <cell r="G872" t="str">
            <v/>
          </cell>
          <cell r="K872" t="str">
            <v/>
          </cell>
          <cell r="L872" t="str">
            <v/>
          </cell>
          <cell r="N872">
            <v>0</v>
          </cell>
        </row>
        <row r="873">
          <cell r="B873">
            <v>205</v>
          </cell>
          <cell r="E873" t="str">
            <v/>
          </cell>
          <cell r="F873" t="str">
            <v/>
          </cell>
          <cell r="G873" t="str">
            <v/>
          </cell>
          <cell r="K873" t="str">
            <v/>
          </cell>
          <cell r="L873" t="str">
            <v/>
          </cell>
          <cell r="N873">
            <v>0</v>
          </cell>
        </row>
        <row r="874">
          <cell r="B874">
            <v>205</v>
          </cell>
          <cell r="E874" t="str">
            <v/>
          </cell>
          <cell r="F874" t="str">
            <v/>
          </cell>
          <cell r="G874" t="str">
            <v/>
          </cell>
          <cell r="K874" t="str">
            <v/>
          </cell>
          <cell r="L874" t="str">
            <v/>
          </cell>
          <cell r="N874">
            <v>0</v>
          </cell>
        </row>
        <row r="875">
          <cell r="B875">
            <v>205</v>
          </cell>
          <cell r="E875" t="str">
            <v/>
          </cell>
          <cell r="F875" t="str">
            <v/>
          </cell>
          <cell r="G875" t="str">
            <v/>
          </cell>
          <cell r="K875" t="str">
            <v/>
          </cell>
          <cell r="L875" t="str">
            <v/>
          </cell>
          <cell r="N875">
            <v>0</v>
          </cell>
        </row>
        <row r="876">
          <cell r="B876">
            <v>205</v>
          </cell>
          <cell r="E876" t="str">
            <v/>
          </cell>
          <cell r="F876" t="str">
            <v/>
          </cell>
          <cell r="G876" t="str">
            <v/>
          </cell>
          <cell r="K876" t="str">
            <v/>
          </cell>
          <cell r="L876" t="str">
            <v/>
          </cell>
          <cell r="N876">
            <v>0</v>
          </cell>
        </row>
        <row r="877">
          <cell r="B877">
            <v>205</v>
          </cell>
          <cell r="E877" t="str">
            <v/>
          </cell>
          <cell r="F877" t="str">
            <v/>
          </cell>
          <cell r="G877" t="str">
            <v/>
          </cell>
          <cell r="K877" t="str">
            <v/>
          </cell>
          <cell r="L877" t="str">
            <v/>
          </cell>
          <cell r="N877">
            <v>0</v>
          </cell>
        </row>
        <row r="878">
          <cell r="B878">
            <v>205</v>
          </cell>
          <cell r="E878" t="str">
            <v/>
          </cell>
          <cell r="F878" t="str">
            <v/>
          </cell>
          <cell r="G878" t="str">
            <v/>
          </cell>
          <cell r="K878" t="str">
            <v/>
          </cell>
          <cell r="L878" t="str">
            <v/>
          </cell>
          <cell r="N878">
            <v>0</v>
          </cell>
        </row>
        <row r="879">
          <cell r="B879">
            <v>205</v>
          </cell>
          <cell r="E879" t="str">
            <v/>
          </cell>
          <cell r="F879" t="str">
            <v/>
          </cell>
          <cell r="G879" t="str">
            <v/>
          </cell>
          <cell r="K879" t="str">
            <v/>
          </cell>
          <cell r="L879" t="str">
            <v/>
          </cell>
          <cell r="N879">
            <v>0</v>
          </cell>
        </row>
        <row r="880">
          <cell r="B880">
            <v>205</v>
          </cell>
          <cell r="E880" t="str">
            <v/>
          </cell>
          <cell r="F880" t="str">
            <v/>
          </cell>
          <cell r="G880" t="str">
            <v/>
          </cell>
          <cell r="K880" t="str">
            <v/>
          </cell>
          <cell r="L880" t="str">
            <v/>
          </cell>
          <cell r="N880">
            <v>0</v>
          </cell>
        </row>
        <row r="881">
          <cell r="B881">
            <v>205</v>
          </cell>
          <cell r="E881" t="str">
            <v/>
          </cell>
          <cell r="F881" t="str">
            <v/>
          </cell>
          <cell r="G881" t="str">
            <v/>
          </cell>
          <cell r="K881" t="str">
            <v/>
          </cell>
          <cell r="L881" t="str">
            <v/>
          </cell>
          <cell r="N881">
            <v>0</v>
          </cell>
        </row>
        <row r="882">
          <cell r="B882">
            <v>205</v>
          </cell>
          <cell r="E882" t="str">
            <v/>
          </cell>
          <cell r="F882" t="str">
            <v/>
          </cell>
          <cell r="G882" t="str">
            <v/>
          </cell>
          <cell r="K882" t="str">
            <v/>
          </cell>
          <cell r="L882" t="str">
            <v/>
          </cell>
          <cell r="N882">
            <v>0</v>
          </cell>
        </row>
        <row r="883">
          <cell r="B883">
            <v>205</v>
          </cell>
          <cell r="E883" t="str">
            <v/>
          </cell>
          <cell r="F883" t="str">
            <v/>
          </cell>
          <cell r="G883" t="str">
            <v/>
          </cell>
          <cell r="K883" t="str">
            <v/>
          </cell>
          <cell r="L883" t="str">
            <v/>
          </cell>
          <cell r="N883">
            <v>0</v>
          </cell>
        </row>
        <row r="884">
          <cell r="B884">
            <v>205</v>
          </cell>
          <cell r="E884" t="str">
            <v/>
          </cell>
          <cell r="F884" t="str">
            <v/>
          </cell>
          <cell r="G884" t="str">
            <v/>
          </cell>
          <cell r="K884" t="str">
            <v/>
          </cell>
          <cell r="L884" t="str">
            <v/>
          </cell>
          <cell r="N884">
            <v>0</v>
          </cell>
        </row>
        <row r="885">
          <cell r="B885">
            <v>205</v>
          </cell>
          <cell r="E885" t="str">
            <v/>
          </cell>
          <cell r="F885" t="str">
            <v/>
          </cell>
          <cell r="G885" t="str">
            <v/>
          </cell>
          <cell r="K885" t="str">
            <v/>
          </cell>
          <cell r="L885" t="str">
            <v/>
          </cell>
          <cell r="N885">
            <v>0</v>
          </cell>
        </row>
        <row r="886">
          <cell r="B886">
            <v>205</v>
          </cell>
          <cell r="E886" t="str">
            <v/>
          </cell>
          <cell r="F886" t="str">
            <v/>
          </cell>
          <cell r="G886" t="str">
            <v/>
          </cell>
          <cell r="K886" t="str">
            <v/>
          </cell>
          <cell r="L886" t="str">
            <v/>
          </cell>
          <cell r="N886">
            <v>0</v>
          </cell>
        </row>
        <row r="887">
          <cell r="B887">
            <v>205</v>
          </cell>
          <cell r="E887" t="str">
            <v/>
          </cell>
          <cell r="F887" t="str">
            <v/>
          </cell>
          <cell r="G887" t="str">
            <v/>
          </cell>
          <cell r="K887" t="str">
            <v/>
          </cell>
          <cell r="L887" t="str">
            <v/>
          </cell>
          <cell r="N887">
            <v>0</v>
          </cell>
        </row>
        <row r="888">
          <cell r="B888">
            <v>205</v>
          </cell>
          <cell r="E888" t="str">
            <v/>
          </cell>
          <cell r="F888" t="str">
            <v/>
          </cell>
          <cell r="G888" t="str">
            <v/>
          </cell>
          <cell r="K888" t="str">
            <v/>
          </cell>
          <cell r="L888" t="str">
            <v/>
          </cell>
          <cell r="N888">
            <v>0</v>
          </cell>
        </row>
        <row r="889">
          <cell r="B889">
            <v>205</v>
          </cell>
          <cell r="E889" t="str">
            <v/>
          </cell>
          <cell r="F889" t="str">
            <v/>
          </cell>
          <cell r="G889" t="str">
            <v/>
          </cell>
          <cell r="K889" t="str">
            <v/>
          </cell>
          <cell r="L889" t="str">
            <v/>
          </cell>
          <cell r="N889">
            <v>0</v>
          </cell>
        </row>
        <row r="890">
          <cell r="B890">
            <v>205</v>
          </cell>
          <cell r="E890" t="str">
            <v/>
          </cell>
          <cell r="F890" t="str">
            <v/>
          </cell>
          <cell r="G890" t="str">
            <v/>
          </cell>
          <cell r="K890" t="str">
            <v/>
          </cell>
          <cell r="L890" t="str">
            <v/>
          </cell>
          <cell r="N890">
            <v>0</v>
          </cell>
        </row>
        <row r="891">
          <cell r="B891">
            <v>205</v>
          </cell>
          <cell r="E891" t="str">
            <v/>
          </cell>
          <cell r="F891" t="str">
            <v/>
          </cell>
          <cell r="G891" t="str">
            <v/>
          </cell>
          <cell r="K891" t="str">
            <v/>
          </cell>
          <cell r="L891" t="str">
            <v/>
          </cell>
          <cell r="N891">
            <v>0</v>
          </cell>
        </row>
        <row r="892">
          <cell r="B892">
            <v>205</v>
          </cell>
          <cell r="E892" t="str">
            <v/>
          </cell>
          <cell r="F892" t="str">
            <v/>
          </cell>
          <cell r="G892" t="str">
            <v/>
          </cell>
          <cell r="K892" t="str">
            <v/>
          </cell>
          <cell r="L892" t="str">
            <v/>
          </cell>
          <cell r="N892">
            <v>0</v>
          </cell>
        </row>
        <row r="893">
          <cell r="B893">
            <v>205</v>
          </cell>
          <cell r="E893" t="str">
            <v/>
          </cell>
          <cell r="F893" t="str">
            <v/>
          </cell>
          <cell r="G893" t="str">
            <v/>
          </cell>
          <cell r="K893" t="str">
            <v/>
          </cell>
          <cell r="L893" t="str">
            <v/>
          </cell>
          <cell r="N893">
            <v>0</v>
          </cell>
        </row>
        <row r="894">
          <cell r="B894">
            <v>205</v>
          </cell>
          <cell r="E894" t="str">
            <v/>
          </cell>
          <cell r="F894" t="str">
            <v/>
          </cell>
          <cell r="G894" t="str">
            <v/>
          </cell>
          <cell r="K894" t="str">
            <v/>
          </cell>
          <cell r="L894" t="str">
            <v/>
          </cell>
          <cell r="N894">
            <v>0</v>
          </cell>
        </row>
        <row r="895">
          <cell r="B895">
            <v>205</v>
          </cell>
          <cell r="E895" t="str">
            <v/>
          </cell>
          <cell r="F895" t="str">
            <v/>
          </cell>
          <cell r="G895" t="str">
            <v/>
          </cell>
          <cell r="K895" t="str">
            <v/>
          </cell>
          <cell r="L895" t="str">
            <v/>
          </cell>
          <cell r="N895">
            <v>0</v>
          </cell>
        </row>
        <row r="896">
          <cell r="B896">
            <v>205</v>
          </cell>
          <cell r="E896" t="str">
            <v/>
          </cell>
          <cell r="F896" t="str">
            <v/>
          </cell>
          <cell r="G896" t="str">
            <v/>
          </cell>
          <cell r="K896" t="str">
            <v/>
          </cell>
          <cell r="L896" t="str">
            <v/>
          </cell>
          <cell r="N896">
            <v>0</v>
          </cell>
        </row>
        <row r="897">
          <cell r="B897">
            <v>205</v>
          </cell>
          <cell r="E897" t="str">
            <v/>
          </cell>
          <cell r="F897" t="str">
            <v/>
          </cell>
          <cell r="G897" t="str">
            <v/>
          </cell>
          <cell r="K897" t="str">
            <v/>
          </cell>
          <cell r="L897" t="str">
            <v/>
          </cell>
          <cell r="N897">
            <v>0</v>
          </cell>
        </row>
        <row r="898">
          <cell r="B898">
            <v>205</v>
          </cell>
          <cell r="E898" t="str">
            <v/>
          </cell>
          <cell r="F898" t="str">
            <v/>
          </cell>
          <cell r="G898" t="str">
            <v/>
          </cell>
          <cell r="K898" t="str">
            <v/>
          </cell>
          <cell r="L898" t="str">
            <v/>
          </cell>
          <cell r="N898">
            <v>0</v>
          </cell>
        </row>
        <row r="899">
          <cell r="B899">
            <v>205</v>
          </cell>
          <cell r="E899" t="str">
            <v/>
          </cell>
          <cell r="F899" t="str">
            <v/>
          </cell>
          <cell r="G899" t="str">
            <v/>
          </cell>
          <cell r="K899" t="str">
            <v/>
          </cell>
          <cell r="L899" t="str">
            <v/>
          </cell>
          <cell r="N899">
            <v>0</v>
          </cell>
        </row>
        <row r="900">
          <cell r="B900">
            <v>205</v>
          </cell>
          <cell r="E900" t="str">
            <v/>
          </cell>
          <cell r="F900" t="str">
            <v/>
          </cell>
          <cell r="G900" t="str">
            <v/>
          </cell>
          <cell r="K900" t="str">
            <v/>
          </cell>
          <cell r="L900" t="str">
            <v/>
          </cell>
          <cell r="N900">
            <v>0</v>
          </cell>
        </row>
        <row r="901">
          <cell r="B901">
            <v>205</v>
          </cell>
          <cell r="E901" t="str">
            <v/>
          </cell>
          <cell r="F901" t="str">
            <v/>
          </cell>
          <cell r="G901" t="str">
            <v/>
          </cell>
          <cell r="K901" t="str">
            <v/>
          </cell>
          <cell r="L901" t="str">
            <v/>
          </cell>
          <cell r="N901">
            <v>0</v>
          </cell>
        </row>
        <row r="902">
          <cell r="B902">
            <v>205</v>
          </cell>
          <cell r="E902" t="str">
            <v/>
          </cell>
          <cell r="F902" t="str">
            <v/>
          </cell>
          <cell r="G902" t="str">
            <v/>
          </cell>
          <cell r="K902" t="str">
            <v/>
          </cell>
          <cell r="L902" t="str">
            <v/>
          </cell>
          <cell r="N902">
            <v>0</v>
          </cell>
        </row>
        <row r="903">
          <cell r="B903">
            <v>205</v>
          </cell>
          <cell r="E903" t="str">
            <v/>
          </cell>
          <cell r="F903" t="str">
            <v/>
          </cell>
          <cell r="G903" t="str">
            <v/>
          </cell>
          <cell r="K903" t="str">
            <v/>
          </cell>
          <cell r="L903" t="str">
            <v/>
          </cell>
          <cell r="N903">
            <v>0</v>
          </cell>
        </row>
        <row r="904">
          <cell r="B904">
            <v>205</v>
          </cell>
          <cell r="E904" t="str">
            <v/>
          </cell>
          <cell r="F904" t="str">
            <v/>
          </cell>
          <cell r="G904" t="str">
            <v/>
          </cell>
          <cell r="K904" t="str">
            <v/>
          </cell>
          <cell r="L904" t="str">
            <v/>
          </cell>
          <cell r="N904">
            <v>0</v>
          </cell>
        </row>
        <row r="905">
          <cell r="B905">
            <v>205</v>
          </cell>
          <cell r="E905" t="str">
            <v/>
          </cell>
          <cell r="F905" t="str">
            <v/>
          </cell>
          <cell r="G905" t="str">
            <v/>
          </cell>
          <cell r="K905" t="str">
            <v/>
          </cell>
          <cell r="L905" t="str">
            <v/>
          </cell>
          <cell r="N905">
            <v>0</v>
          </cell>
        </row>
        <row r="906">
          <cell r="B906">
            <v>205</v>
          </cell>
          <cell r="E906" t="str">
            <v/>
          </cell>
          <cell r="F906" t="str">
            <v/>
          </cell>
          <cell r="G906" t="str">
            <v/>
          </cell>
          <cell r="K906" t="str">
            <v/>
          </cell>
          <cell r="L906" t="str">
            <v/>
          </cell>
          <cell r="N906">
            <v>0</v>
          </cell>
        </row>
        <row r="907">
          <cell r="B907">
            <v>205</v>
          </cell>
          <cell r="E907" t="str">
            <v/>
          </cell>
          <cell r="F907" t="str">
            <v/>
          </cell>
          <cell r="G907" t="str">
            <v/>
          </cell>
          <cell r="K907" t="str">
            <v/>
          </cell>
          <cell r="L907" t="str">
            <v/>
          </cell>
          <cell r="N907">
            <v>0</v>
          </cell>
        </row>
        <row r="908">
          <cell r="B908">
            <v>205</v>
          </cell>
          <cell r="E908" t="str">
            <v/>
          </cell>
          <cell r="F908" t="str">
            <v/>
          </cell>
          <cell r="G908" t="str">
            <v/>
          </cell>
          <cell r="K908" t="str">
            <v/>
          </cell>
          <cell r="L908" t="str">
            <v/>
          </cell>
          <cell r="N908">
            <v>0</v>
          </cell>
        </row>
        <row r="909">
          <cell r="B909">
            <v>205</v>
          </cell>
          <cell r="E909" t="str">
            <v/>
          </cell>
          <cell r="F909" t="str">
            <v/>
          </cell>
          <cell r="G909" t="str">
            <v/>
          </cell>
          <cell r="K909" t="str">
            <v/>
          </cell>
          <cell r="L909" t="str">
            <v/>
          </cell>
          <cell r="N909">
            <v>0</v>
          </cell>
        </row>
        <row r="910">
          <cell r="B910">
            <v>205</v>
          </cell>
          <cell r="E910" t="str">
            <v/>
          </cell>
          <cell r="F910" t="str">
            <v/>
          </cell>
          <cell r="G910" t="str">
            <v/>
          </cell>
          <cell r="K910" t="str">
            <v/>
          </cell>
          <cell r="L910" t="str">
            <v/>
          </cell>
          <cell r="N910">
            <v>0</v>
          </cell>
        </row>
        <row r="911">
          <cell r="B911">
            <v>205</v>
          </cell>
          <cell r="E911" t="str">
            <v/>
          </cell>
          <cell r="F911" t="str">
            <v/>
          </cell>
          <cell r="G911" t="str">
            <v/>
          </cell>
          <cell r="K911" t="str">
            <v/>
          </cell>
          <cell r="L911" t="str">
            <v/>
          </cell>
          <cell r="N911">
            <v>0</v>
          </cell>
        </row>
        <row r="912">
          <cell r="B912">
            <v>205</v>
          </cell>
          <cell r="E912" t="str">
            <v/>
          </cell>
          <cell r="F912" t="str">
            <v/>
          </cell>
          <cell r="G912" t="str">
            <v/>
          </cell>
          <cell r="K912" t="str">
            <v/>
          </cell>
          <cell r="L912" t="str">
            <v/>
          </cell>
          <cell r="N912">
            <v>0</v>
          </cell>
        </row>
        <row r="913">
          <cell r="B913">
            <v>205</v>
          </cell>
          <cell r="E913" t="str">
            <v/>
          </cell>
          <cell r="F913" t="str">
            <v/>
          </cell>
          <cell r="G913" t="str">
            <v/>
          </cell>
          <cell r="K913" t="str">
            <v/>
          </cell>
          <cell r="L913" t="str">
            <v/>
          </cell>
          <cell r="N913">
            <v>0</v>
          </cell>
        </row>
        <row r="914">
          <cell r="B914">
            <v>205</v>
          </cell>
          <cell r="E914" t="str">
            <v/>
          </cell>
          <cell r="F914" t="str">
            <v/>
          </cell>
          <cell r="G914" t="str">
            <v/>
          </cell>
          <cell r="K914" t="str">
            <v/>
          </cell>
          <cell r="L914" t="str">
            <v/>
          </cell>
          <cell r="N914">
            <v>0</v>
          </cell>
        </row>
        <row r="915">
          <cell r="B915">
            <v>205</v>
          </cell>
          <cell r="E915" t="str">
            <v/>
          </cell>
          <cell r="F915" t="str">
            <v/>
          </cell>
          <cell r="G915" t="str">
            <v/>
          </cell>
          <cell r="K915" t="str">
            <v/>
          </cell>
          <cell r="L915" t="str">
            <v/>
          </cell>
          <cell r="N915">
            <v>0</v>
          </cell>
        </row>
        <row r="916">
          <cell r="B916">
            <v>205</v>
          </cell>
          <cell r="E916" t="str">
            <v/>
          </cell>
          <cell r="F916" t="str">
            <v/>
          </cell>
          <cell r="G916" t="str">
            <v/>
          </cell>
          <cell r="K916" t="str">
            <v/>
          </cell>
          <cell r="L916" t="str">
            <v/>
          </cell>
          <cell r="N916">
            <v>0</v>
          </cell>
        </row>
        <row r="917">
          <cell r="B917">
            <v>205</v>
          </cell>
          <cell r="E917" t="str">
            <v/>
          </cell>
          <cell r="F917" t="str">
            <v/>
          </cell>
          <cell r="G917" t="str">
            <v/>
          </cell>
          <cell r="K917" t="str">
            <v/>
          </cell>
          <cell r="L917" t="str">
            <v/>
          </cell>
          <cell r="N917">
            <v>0</v>
          </cell>
        </row>
        <row r="918">
          <cell r="B918">
            <v>205</v>
          </cell>
          <cell r="E918" t="str">
            <v/>
          </cell>
          <cell r="F918" t="str">
            <v/>
          </cell>
          <cell r="G918" t="str">
            <v/>
          </cell>
          <cell r="K918" t="str">
            <v/>
          </cell>
          <cell r="L918" t="str">
            <v/>
          </cell>
          <cell r="N918">
            <v>0</v>
          </cell>
        </row>
        <row r="919">
          <cell r="B919">
            <v>205</v>
          </cell>
          <cell r="E919" t="str">
            <v/>
          </cell>
          <cell r="F919" t="str">
            <v/>
          </cell>
          <cell r="G919" t="str">
            <v/>
          </cell>
          <cell r="K919" t="str">
            <v/>
          </cell>
          <cell r="L919" t="str">
            <v/>
          </cell>
          <cell r="N919">
            <v>0</v>
          </cell>
        </row>
        <row r="920">
          <cell r="B920">
            <v>205</v>
          </cell>
          <cell r="E920" t="str">
            <v/>
          </cell>
          <cell r="F920" t="str">
            <v/>
          </cell>
          <cell r="G920" t="str">
            <v/>
          </cell>
          <cell r="K920" t="str">
            <v/>
          </cell>
          <cell r="L920" t="str">
            <v/>
          </cell>
          <cell r="N920">
            <v>0</v>
          </cell>
        </row>
        <row r="921">
          <cell r="B921">
            <v>205</v>
          </cell>
          <cell r="E921" t="str">
            <v/>
          </cell>
          <cell r="F921" t="str">
            <v/>
          </cell>
          <cell r="G921" t="str">
            <v/>
          </cell>
          <cell r="K921" t="str">
            <v/>
          </cell>
          <cell r="L921" t="str">
            <v/>
          </cell>
          <cell r="N921">
            <v>0</v>
          </cell>
        </row>
        <row r="922">
          <cell r="B922">
            <v>205</v>
          </cell>
          <cell r="E922" t="str">
            <v/>
          </cell>
          <cell r="F922" t="str">
            <v/>
          </cell>
          <cell r="G922" t="str">
            <v/>
          </cell>
          <cell r="K922" t="str">
            <v/>
          </cell>
          <cell r="L922" t="str">
            <v/>
          </cell>
          <cell r="N922">
            <v>0</v>
          </cell>
        </row>
        <row r="923">
          <cell r="B923">
            <v>205</v>
          </cell>
          <cell r="E923" t="str">
            <v/>
          </cell>
          <cell r="F923" t="str">
            <v/>
          </cell>
          <cell r="G923" t="str">
            <v/>
          </cell>
          <cell r="K923" t="str">
            <v/>
          </cell>
          <cell r="L923" t="str">
            <v/>
          </cell>
          <cell r="N923">
            <v>0</v>
          </cell>
        </row>
        <row r="924">
          <cell r="B924">
            <v>205</v>
          </cell>
          <cell r="E924" t="str">
            <v/>
          </cell>
          <cell r="F924" t="str">
            <v/>
          </cell>
          <cell r="G924" t="str">
            <v/>
          </cell>
          <cell r="K924" t="str">
            <v/>
          </cell>
          <cell r="L924" t="str">
            <v/>
          </cell>
          <cell r="N924">
            <v>0</v>
          </cell>
        </row>
        <row r="925">
          <cell r="B925">
            <v>205</v>
          </cell>
          <cell r="E925" t="str">
            <v/>
          </cell>
          <cell r="F925" t="str">
            <v/>
          </cell>
          <cell r="G925" t="str">
            <v/>
          </cell>
          <cell r="K925" t="str">
            <v/>
          </cell>
          <cell r="L925" t="str">
            <v/>
          </cell>
          <cell r="N925">
            <v>0</v>
          </cell>
        </row>
        <row r="926">
          <cell r="B926">
            <v>205</v>
          </cell>
          <cell r="E926" t="str">
            <v/>
          </cell>
          <cell r="F926" t="str">
            <v/>
          </cell>
          <cell r="G926" t="str">
            <v/>
          </cell>
          <cell r="K926" t="str">
            <v/>
          </cell>
          <cell r="L926" t="str">
            <v/>
          </cell>
          <cell r="N926">
            <v>0</v>
          </cell>
        </row>
        <row r="927">
          <cell r="B927">
            <v>205</v>
          </cell>
          <cell r="E927" t="str">
            <v/>
          </cell>
          <cell r="F927" t="str">
            <v/>
          </cell>
          <cell r="G927" t="str">
            <v/>
          </cell>
          <cell r="K927" t="str">
            <v/>
          </cell>
          <cell r="L927" t="str">
            <v/>
          </cell>
          <cell r="N927">
            <v>0</v>
          </cell>
        </row>
        <row r="928">
          <cell r="B928">
            <v>205</v>
          </cell>
          <cell r="E928" t="str">
            <v/>
          </cell>
          <cell r="F928" t="str">
            <v/>
          </cell>
          <cell r="G928" t="str">
            <v/>
          </cell>
          <cell r="K928" t="str">
            <v/>
          </cell>
          <cell r="L928" t="str">
            <v/>
          </cell>
          <cell r="N928">
            <v>0</v>
          </cell>
        </row>
        <row r="929">
          <cell r="B929">
            <v>205</v>
          </cell>
          <cell r="E929" t="str">
            <v/>
          </cell>
          <cell r="F929" t="str">
            <v/>
          </cell>
          <cell r="G929" t="str">
            <v/>
          </cell>
          <cell r="K929" t="str">
            <v/>
          </cell>
          <cell r="L929" t="str">
            <v/>
          </cell>
          <cell r="N929">
            <v>0</v>
          </cell>
        </row>
        <row r="930">
          <cell r="B930">
            <v>205</v>
          </cell>
          <cell r="E930" t="str">
            <v/>
          </cell>
          <cell r="F930" t="str">
            <v/>
          </cell>
          <cell r="G930" t="str">
            <v/>
          </cell>
          <cell r="K930" t="str">
            <v/>
          </cell>
          <cell r="L930" t="str">
            <v/>
          </cell>
          <cell r="N930">
            <v>0</v>
          </cell>
        </row>
        <row r="931">
          <cell r="B931">
            <v>205</v>
          </cell>
          <cell r="E931" t="str">
            <v/>
          </cell>
          <cell r="F931" t="str">
            <v/>
          </cell>
          <cell r="G931" t="str">
            <v/>
          </cell>
          <cell r="K931" t="str">
            <v/>
          </cell>
          <cell r="L931" t="str">
            <v/>
          </cell>
          <cell r="N931">
            <v>0</v>
          </cell>
        </row>
        <row r="932">
          <cell r="B932">
            <v>205</v>
          </cell>
          <cell r="E932" t="str">
            <v/>
          </cell>
          <cell r="F932" t="str">
            <v/>
          </cell>
          <cell r="G932" t="str">
            <v/>
          </cell>
          <cell r="K932" t="str">
            <v/>
          </cell>
          <cell r="L932" t="str">
            <v/>
          </cell>
          <cell r="N932">
            <v>0</v>
          </cell>
        </row>
        <row r="933">
          <cell r="B933">
            <v>205</v>
          </cell>
          <cell r="E933" t="str">
            <v/>
          </cell>
          <cell r="F933" t="str">
            <v/>
          </cell>
          <cell r="G933" t="str">
            <v/>
          </cell>
          <cell r="K933" t="str">
            <v/>
          </cell>
          <cell r="L933" t="str">
            <v/>
          </cell>
          <cell r="N933">
            <v>0</v>
          </cell>
        </row>
        <row r="934">
          <cell r="B934">
            <v>205</v>
          </cell>
          <cell r="E934" t="str">
            <v/>
          </cell>
          <cell r="F934" t="str">
            <v/>
          </cell>
          <cell r="G934" t="str">
            <v/>
          </cell>
          <cell r="K934" t="str">
            <v/>
          </cell>
          <cell r="L934" t="str">
            <v/>
          </cell>
          <cell r="N934">
            <v>0</v>
          </cell>
        </row>
        <row r="935">
          <cell r="B935">
            <v>205</v>
          </cell>
          <cell r="E935" t="str">
            <v/>
          </cell>
          <cell r="F935" t="str">
            <v/>
          </cell>
          <cell r="G935" t="str">
            <v/>
          </cell>
          <cell r="K935" t="str">
            <v/>
          </cell>
          <cell r="L935" t="str">
            <v/>
          </cell>
          <cell r="N935">
            <v>0</v>
          </cell>
        </row>
        <row r="936">
          <cell r="B936">
            <v>205</v>
          </cell>
          <cell r="E936" t="str">
            <v/>
          </cell>
          <cell r="F936" t="str">
            <v/>
          </cell>
          <cell r="G936" t="str">
            <v/>
          </cell>
          <cell r="K936" t="str">
            <v/>
          </cell>
          <cell r="L936" t="str">
            <v/>
          </cell>
          <cell r="N936">
            <v>0</v>
          </cell>
        </row>
        <row r="937">
          <cell r="B937">
            <v>205</v>
          </cell>
          <cell r="E937" t="str">
            <v/>
          </cell>
          <cell r="F937" t="str">
            <v/>
          </cell>
          <cell r="G937" t="str">
            <v/>
          </cell>
          <cell r="K937" t="str">
            <v/>
          </cell>
          <cell r="L937" t="str">
            <v/>
          </cell>
          <cell r="N937">
            <v>0</v>
          </cell>
        </row>
        <row r="938">
          <cell r="B938">
            <v>205</v>
          </cell>
          <cell r="E938" t="str">
            <v/>
          </cell>
          <cell r="F938" t="str">
            <v/>
          </cell>
          <cell r="G938" t="str">
            <v/>
          </cell>
          <cell r="K938" t="str">
            <v/>
          </cell>
          <cell r="L938" t="str">
            <v/>
          </cell>
          <cell r="N938">
            <v>0</v>
          </cell>
        </row>
        <row r="939">
          <cell r="B939">
            <v>205</v>
          </cell>
          <cell r="E939" t="str">
            <v/>
          </cell>
          <cell r="F939" t="str">
            <v/>
          </cell>
          <cell r="G939" t="str">
            <v/>
          </cell>
          <cell r="K939" t="str">
            <v/>
          </cell>
          <cell r="L939" t="str">
            <v/>
          </cell>
          <cell r="N939">
            <v>0</v>
          </cell>
        </row>
        <row r="940">
          <cell r="B940">
            <v>205</v>
          </cell>
          <cell r="E940" t="str">
            <v/>
          </cell>
          <cell r="F940" t="str">
            <v/>
          </cell>
          <cell r="G940" t="str">
            <v/>
          </cell>
          <cell r="K940" t="str">
            <v/>
          </cell>
          <cell r="L940" t="str">
            <v/>
          </cell>
          <cell r="N940">
            <v>0</v>
          </cell>
        </row>
        <row r="941">
          <cell r="B941">
            <v>205</v>
          </cell>
          <cell r="E941" t="str">
            <v/>
          </cell>
          <cell r="F941" t="str">
            <v/>
          </cell>
          <cell r="G941" t="str">
            <v/>
          </cell>
          <cell r="K941" t="str">
            <v/>
          </cell>
          <cell r="L941" t="str">
            <v/>
          </cell>
          <cell r="N941">
            <v>0</v>
          </cell>
        </row>
        <row r="942">
          <cell r="B942">
            <v>205</v>
          </cell>
          <cell r="E942" t="str">
            <v/>
          </cell>
          <cell r="F942" t="str">
            <v/>
          </cell>
          <cell r="G942" t="str">
            <v/>
          </cell>
          <cell r="K942" t="str">
            <v/>
          </cell>
          <cell r="L942" t="str">
            <v/>
          </cell>
          <cell r="N942">
            <v>0</v>
          </cell>
        </row>
        <row r="943">
          <cell r="B943">
            <v>205</v>
          </cell>
          <cell r="E943" t="str">
            <v/>
          </cell>
          <cell r="F943" t="str">
            <v/>
          </cell>
          <cell r="G943" t="str">
            <v/>
          </cell>
          <cell r="K943" t="str">
            <v/>
          </cell>
          <cell r="L943" t="str">
            <v/>
          </cell>
          <cell r="N943">
            <v>0</v>
          </cell>
        </row>
        <row r="944">
          <cell r="B944">
            <v>205</v>
          </cell>
          <cell r="E944" t="str">
            <v/>
          </cell>
          <cell r="F944" t="str">
            <v/>
          </cell>
          <cell r="G944" t="str">
            <v/>
          </cell>
          <cell r="K944" t="str">
            <v/>
          </cell>
          <cell r="L944" t="str">
            <v/>
          </cell>
          <cell r="N944">
            <v>0</v>
          </cell>
        </row>
        <row r="945">
          <cell r="B945">
            <v>205</v>
          </cell>
          <cell r="E945" t="str">
            <v/>
          </cell>
          <cell r="F945" t="str">
            <v/>
          </cell>
          <cell r="G945" t="str">
            <v/>
          </cell>
          <cell r="K945" t="str">
            <v/>
          </cell>
          <cell r="L945" t="str">
            <v/>
          </cell>
          <cell r="N945">
            <v>0</v>
          </cell>
        </row>
        <row r="946">
          <cell r="B946">
            <v>205</v>
          </cell>
          <cell r="E946" t="str">
            <v/>
          </cell>
          <cell r="F946" t="str">
            <v/>
          </cell>
          <cell r="G946" t="str">
            <v/>
          </cell>
          <cell r="K946" t="str">
            <v/>
          </cell>
          <cell r="L946" t="str">
            <v/>
          </cell>
          <cell r="N946">
            <v>0</v>
          </cell>
        </row>
        <row r="947">
          <cell r="B947">
            <v>205</v>
          </cell>
          <cell r="E947" t="str">
            <v/>
          </cell>
          <cell r="F947" t="str">
            <v/>
          </cell>
          <cell r="G947" t="str">
            <v/>
          </cell>
          <cell r="K947" t="str">
            <v/>
          </cell>
          <cell r="L947" t="str">
            <v/>
          </cell>
          <cell r="N947">
            <v>0</v>
          </cell>
        </row>
        <row r="948">
          <cell r="B948">
            <v>205</v>
          </cell>
          <cell r="E948" t="str">
            <v/>
          </cell>
          <cell r="F948" t="str">
            <v/>
          </cell>
          <cell r="G948" t="str">
            <v/>
          </cell>
          <cell r="K948" t="str">
            <v/>
          </cell>
          <cell r="L948" t="str">
            <v/>
          </cell>
          <cell r="N948">
            <v>0</v>
          </cell>
        </row>
        <row r="949">
          <cell r="B949">
            <v>205</v>
          </cell>
          <cell r="E949" t="str">
            <v/>
          </cell>
          <cell r="F949" t="str">
            <v/>
          </cell>
          <cell r="G949" t="str">
            <v/>
          </cell>
          <cell r="K949" t="str">
            <v/>
          </cell>
          <cell r="L949" t="str">
            <v/>
          </cell>
          <cell r="N949">
            <v>0</v>
          </cell>
        </row>
        <row r="950">
          <cell r="B950">
            <v>205</v>
          </cell>
          <cell r="E950" t="str">
            <v/>
          </cell>
          <cell r="F950" t="str">
            <v/>
          </cell>
          <cell r="G950" t="str">
            <v/>
          </cell>
          <cell r="K950" t="str">
            <v/>
          </cell>
          <cell r="L950" t="str">
            <v/>
          </cell>
          <cell r="N950">
            <v>0</v>
          </cell>
        </row>
        <row r="951">
          <cell r="B951">
            <v>205</v>
          </cell>
          <cell r="E951" t="str">
            <v/>
          </cell>
          <cell r="F951" t="str">
            <v/>
          </cell>
          <cell r="G951" t="str">
            <v/>
          </cell>
          <cell r="K951" t="str">
            <v/>
          </cell>
          <cell r="L951" t="str">
            <v/>
          </cell>
          <cell r="N951">
            <v>0</v>
          </cell>
        </row>
        <row r="952">
          <cell r="B952">
            <v>205</v>
          </cell>
          <cell r="E952" t="str">
            <v/>
          </cell>
          <cell r="F952" t="str">
            <v/>
          </cell>
          <cell r="G952" t="str">
            <v/>
          </cell>
          <cell r="K952" t="str">
            <v/>
          </cell>
          <cell r="L952" t="str">
            <v/>
          </cell>
          <cell r="N952">
            <v>0</v>
          </cell>
        </row>
        <row r="953">
          <cell r="B953">
            <v>205</v>
          </cell>
          <cell r="E953" t="str">
            <v/>
          </cell>
          <cell r="F953" t="str">
            <v/>
          </cell>
          <cell r="G953" t="str">
            <v/>
          </cell>
          <cell r="K953" t="str">
            <v/>
          </cell>
          <cell r="L953" t="str">
            <v/>
          </cell>
          <cell r="N953">
            <v>0</v>
          </cell>
        </row>
        <row r="954">
          <cell r="B954">
            <v>205</v>
          </cell>
          <cell r="E954" t="str">
            <v/>
          </cell>
          <cell r="F954" t="str">
            <v/>
          </cell>
          <cell r="G954" t="str">
            <v/>
          </cell>
          <cell r="K954" t="str">
            <v/>
          </cell>
          <cell r="L954" t="str">
            <v/>
          </cell>
          <cell r="N954">
            <v>0</v>
          </cell>
        </row>
        <row r="955">
          <cell r="B955">
            <v>205</v>
          </cell>
          <cell r="E955" t="str">
            <v/>
          </cell>
          <cell r="F955" t="str">
            <v/>
          </cell>
          <cell r="G955" t="str">
            <v/>
          </cell>
          <cell r="K955" t="str">
            <v/>
          </cell>
          <cell r="L955" t="str">
            <v/>
          </cell>
          <cell r="N955">
            <v>0</v>
          </cell>
        </row>
        <row r="956">
          <cell r="B956">
            <v>205</v>
          </cell>
          <cell r="E956" t="str">
            <v/>
          </cell>
          <cell r="F956" t="str">
            <v/>
          </cell>
          <cell r="G956" t="str">
            <v/>
          </cell>
          <cell r="K956" t="str">
            <v/>
          </cell>
          <cell r="L956" t="str">
            <v/>
          </cell>
          <cell r="N956">
            <v>0</v>
          </cell>
        </row>
        <row r="957">
          <cell r="B957">
            <v>205</v>
          </cell>
          <cell r="E957" t="str">
            <v/>
          </cell>
          <cell r="F957" t="str">
            <v/>
          </cell>
          <cell r="G957" t="str">
            <v/>
          </cell>
          <cell r="K957" t="str">
            <v/>
          </cell>
          <cell r="L957" t="str">
            <v/>
          </cell>
          <cell r="N957">
            <v>0</v>
          </cell>
        </row>
        <row r="958">
          <cell r="B958">
            <v>205</v>
          </cell>
          <cell r="E958" t="str">
            <v/>
          </cell>
          <cell r="F958" t="str">
            <v/>
          </cell>
          <cell r="G958" t="str">
            <v/>
          </cell>
          <cell r="K958" t="str">
            <v/>
          </cell>
          <cell r="L958" t="str">
            <v/>
          </cell>
          <cell r="N958">
            <v>0</v>
          </cell>
        </row>
        <row r="959">
          <cell r="B959">
            <v>205</v>
          </cell>
          <cell r="E959" t="str">
            <v/>
          </cell>
          <cell r="F959" t="str">
            <v/>
          </cell>
          <cell r="G959" t="str">
            <v/>
          </cell>
          <cell r="K959" t="str">
            <v/>
          </cell>
          <cell r="L959" t="str">
            <v/>
          </cell>
          <cell r="N959">
            <v>0</v>
          </cell>
        </row>
        <row r="960">
          <cell r="B960">
            <v>205</v>
          </cell>
          <cell r="E960" t="str">
            <v/>
          </cell>
          <cell r="F960" t="str">
            <v/>
          </cell>
          <cell r="G960" t="str">
            <v/>
          </cell>
          <cell r="K960" t="str">
            <v/>
          </cell>
          <cell r="L960" t="str">
            <v/>
          </cell>
          <cell r="N960">
            <v>0</v>
          </cell>
        </row>
        <row r="961">
          <cell r="B961">
            <v>205</v>
          </cell>
          <cell r="E961" t="str">
            <v/>
          </cell>
          <cell r="F961" t="str">
            <v/>
          </cell>
          <cell r="G961" t="str">
            <v/>
          </cell>
          <cell r="K961" t="str">
            <v/>
          </cell>
          <cell r="L961" t="str">
            <v/>
          </cell>
          <cell r="N961">
            <v>0</v>
          </cell>
        </row>
        <row r="962">
          <cell r="B962">
            <v>205</v>
          </cell>
          <cell r="E962" t="str">
            <v/>
          </cell>
          <cell r="F962" t="str">
            <v/>
          </cell>
          <cell r="G962" t="str">
            <v/>
          </cell>
          <cell r="K962" t="str">
            <v/>
          </cell>
          <cell r="L962" t="str">
            <v/>
          </cell>
          <cell r="N962">
            <v>0</v>
          </cell>
        </row>
        <row r="963">
          <cell r="B963">
            <v>205</v>
          </cell>
          <cell r="E963" t="str">
            <v/>
          </cell>
          <cell r="F963" t="str">
            <v/>
          </cell>
          <cell r="G963" t="str">
            <v/>
          </cell>
          <cell r="K963" t="str">
            <v/>
          </cell>
          <cell r="L963" t="str">
            <v/>
          </cell>
          <cell r="N963">
            <v>0</v>
          </cell>
        </row>
        <row r="964">
          <cell r="B964">
            <v>205</v>
          </cell>
          <cell r="E964" t="str">
            <v/>
          </cell>
          <cell r="F964" t="str">
            <v/>
          </cell>
          <cell r="G964" t="str">
            <v/>
          </cell>
          <cell r="K964" t="str">
            <v/>
          </cell>
          <cell r="L964" t="str">
            <v/>
          </cell>
          <cell r="N964">
            <v>0</v>
          </cell>
        </row>
        <row r="965">
          <cell r="B965">
            <v>205</v>
          </cell>
          <cell r="E965" t="str">
            <v/>
          </cell>
          <cell r="F965" t="str">
            <v/>
          </cell>
          <cell r="G965" t="str">
            <v/>
          </cell>
          <cell r="K965" t="str">
            <v/>
          </cell>
          <cell r="L965" t="str">
            <v/>
          </cell>
          <cell r="N965">
            <v>0</v>
          </cell>
        </row>
        <row r="966">
          <cell r="B966">
            <v>205</v>
          </cell>
          <cell r="E966" t="str">
            <v/>
          </cell>
          <cell r="F966" t="str">
            <v/>
          </cell>
          <cell r="G966" t="str">
            <v/>
          </cell>
          <cell r="K966" t="str">
            <v/>
          </cell>
          <cell r="L966" t="str">
            <v/>
          </cell>
          <cell r="N966">
            <v>0</v>
          </cell>
        </row>
        <row r="967">
          <cell r="B967">
            <v>205</v>
          </cell>
          <cell r="E967" t="str">
            <v/>
          </cell>
          <cell r="F967" t="str">
            <v/>
          </cell>
          <cell r="G967" t="str">
            <v/>
          </cell>
          <cell r="K967" t="str">
            <v/>
          </cell>
          <cell r="L967" t="str">
            <v/>
          </cell>
          <cell r="N967">
            <v>0</v>
          </cell>
        </row>
        <row r="968">
          <cell r="B968">
            <v>205</v>
          </cell>
          <cell r="E968" t="str">
            <v/>
          </cell>
          <cell r="F968" t="str">
            <v/>
          </cell>
          <cell r="G968" t="str">
            <v/>
          </cell>
          <cell r="K968" t="str">
            <v/>
          </cell>
          <cell r="L968" t="str">
            <v/>
          </cell>
          <cell r="N968">
            <v>0</v>
          </cell>
        </row>
        <row r="969">
          <cell r="B969">
            <v>205</v>
          </cell>
          <cell r="E969" t="str">
            <v/>
          </cell>
          <cell r="F969" t="str">
            <v/>
          </cell>
          <cell r="G969" t="str">
            <v/>
          </cell>
          <cell r="K969" t="str">
            <v/>
          </cell>
          <cell r="L969" t="str">
            <v/>
          </cell>
          <cell r="N969">
            <v>0</v>
          </cell>
        </row>
        <row r="970">
          <cell r="B970">
            <v>205</v>
          </cell>
          <cell r="E970" t="str">
            <v/>
          </cell>
          <cell r="F970" t="str">
            <v/>
          </cell>
          <cell r="G970" t="str">
            <v/>
          </cell>
          <cell r="K970" t="str">
            <v/>
          </cell>
          <cell r="L970" t="str">
            <v/>
          </cell>
          <cell r="N970">
            <v>0</v>
          </cell>
        </row>
        <row r="971">
          <cell r="B971">
            <v>205</v>
          </cell>
          <cell r="E971" t="str">
            <v/>
          </cell>
          <cell r="F971" t="str">
            <v/>
          </cell>
          <cell r="G971" t="str">
            <v/>
          </cell>
          <cell r="K971" t="str">
            <v/>
          </cell>
          <cell r="L971" t="str">
            <v/>
          </cell>
          <cell r="N971">
            <v>0</v>
          </cell>
        </row>
        <row r="972">
          <cell r="B972">
            <v>205</v>
          </cell>
          <cell r="E972" t="str">
            <v/>
          </cell>
          <cell r="F972" t="str">
            <v/>
          </cell>
          <cell r="G972" t="str">
            <v/>
          </cell>
          <cell r="K972" t="str">
            <v/>
          </cell>
          <cell r="L972" t="str">
            <v/>
          </cell>
          <cell r="N972">
            <v>0</v>
          </cell>
        </row>
        <row r="973">
          <cell r="B973">
            <v>205</v>
          </cell>
          <cell r="E973" t="str">
            <v/>
          </cell>
          <cell r="F973" t="str">
            <v/>
          </cell>
          <cell r="G973" t="str">
            <v/>
          </cell>
          <cell r="K973" t="str">
            <v/>
          </cell>
          <cell r="L973" t="str">
            <v/>
          </cell>
          <cell r="N973">
            <v>0</v>
          </cell>
        </row>
        <row r="974">
          <cell r="B974">
            <v>205</v>
          </cell>
          <cell r="E974" t="str">
            <v/>
          </cell>
          <cell r="F974" t="str">
            <v/>
          </cell>
          <cell r="G974" t="str">
            <v/>
          </cell>
          <cell r="K974" t="str">
            <v/>
          </cell>
          <cell r="L974" t="str">
            <v/>
          </cell>
          <cell r="N974">
            <v>0</v>
          </cell>
        </row>
        <row r="975">
          <cell r="B975">
            <v>205</v>
          </cell>
          <cell r="E975" t="str">
            <v/>
          </cell>
          <cell r="F975" t="str">
            <v/>
          </cell>
          <cell r="G975" t="str">
            <v/>
          </cell>
          <cell r="K975" t="str">
            <v/>
          </cell>
          <cell r="L975" t="str">
            <v/>
          </cell>
          <cell r="N975">
            <v>0</v>
          </cell>
        </row>
        <row r="976">
          <cell r="B976">
            <v>205</v>
          </cell>
          <cell r="E976" t="str">
            <v/>
          </cell>
          <cell r="F976" t="str">
            <v/>
          </cell>
          <cell r="G976" t="str">
            <v/>
          </cell>
          <cell r="K976" t="str">
            <v/>
          </cell>
          <cell r="L976" t="str">
            <v/>
          </cell>
          <cell r="N976">
            <v>0</v>
          </cell>
        </row>
        <row r="977">
          <cell r="B977">
            <v>205</v>
          </cell>
          <cell r="E977" t="str">
            <v/>
          </cell>
          <cell r="F977" t="str">
            <v/>
          </cell>
          <cell r="G977" t="str">
            <v/>
          </cell>
          <cell r="K977" t="str">
            <v/>
          </cell>
          <cell r="L977" t="str">
            <v/>
          </cell>
          <cell r="N977">
            <v>0</v>
          </cell>
        </row>
        <row r="978">
          <cell r="B978">
            <v>205</v>
          </cell>
          <cell r="E978" t="str">
            <v/>
          </cell>
          <cell r="F978" t="str">
            <v/>
          </cell>
          <cell r="G978" t="str">
            <v/>
          </cell>
          <cell r="K978" t="str">
            <v/>
          </cell>
          <cell r="L978" t="str">
            <v/>
          </cell>
          <cell r="N978">
            <v>0</v>
          </cell>
        </row>
        <row r="979">
          <cell r="B979">
            <v>205</v>
          </cell>
          <cell r="E979" t="str">
            <v/>
          </cell>
          <cell r="F979" t="str">
            <v/>
          </cell>
          <cell r="G979" t="str">
            <v/>
          </cell>
          <cell r="K979" t="str">
            <v/>
          </cell>
          <cell r="L979" t="str">
            <v/>
          </cell>
          <cell r="N979">
            <v>0</v>
          </cell>
        </row>
        <row r="980">
          <cell r="B980">
            <v>205</v>
          </cell>
          <cell r="E980" t="str">
            <v/>
          </cell>
          <cell r="F980" t="str">
            <v/>
          </cell>
          <cell r="G980" t="str">
            <v/>
          </cell>
          <cell r="K980" t="str">
            <v/>
          </cell>
          <cell r="L980" t="str">
            <v/>
          </cell>
          <cell r="N980">
            <v>0</v>
          </cell>
        </row>
        <row r="981">
          <cell r="B981">
            <v>205</v>
          </cell>
          <cell r="E981" t="str">
            <v/>
          </cell>
          <cell r="F981" t="str">
            <v/>
          </cell>
          <cell r="G981" t="str">
            <v/>
          </cell>
          <cell r="K981" t="str">
            <v/>
          </cell>
          <cell r="L981" t="str">
            <v/>
          </cell>
          <cell r="N981">
            <v>0</v>
          </cell>
        </row>
        <row r="982">
          <cell r="B982">
            <v>205</v>
          </cell>
          <cell r="E982" t="str">
            <v/>
          </cell>
          <cell r="F982" t="str">
            <v/>
          </cell>
          <cell r="G982" t="str">
            <v/>
          </cell>
          <cell r="K982" t="str">
            <v/>
          </cell>
          <cell r="L982" t="str">
            <v/>
          </cell>
          <cell r="N982">
            <v>0</v>
          </cell>
        </row>
        <row r="983">
          <cell r="B983">
            <v>205</v>
          </cell>
          <cell r="E983" t="str">
            <v/>
          </cell>
          <cell r="F983" t="str">
            <v/>
          </cell>
          <cell r="G983" t="str">
            <v/>
          </cell>
          <cell r="K983" t="str">
            <v/>
          </cell>
          <cell r="L983" t="str">
            <v/>
          </cell>
          <cell r="N983">
            <v>0</v>
          </cell>
        </row>
        <row r="984">
          <cell r="B984">
            <v>205</v>
          </cell>
          <cell r="E984" t="str">
            <v/>
          </cell>
          <cell r="F984" t="str">
            <v/>
          </cell>
          <cell r="G984" t="str">
            <v/>
          </cell>
          <cell r="K984" t="str">
            <v/>
          </cell>
          <cell r="L984" t="str">
            <v/>
          </cell>
          <cell r="N984">
            <v>0</v>
          </cell>
        </row>
        <row r="985">
          <cell r="B985">
            <v>205</v>
          </cell>
          <cell r="E985" t="str">
            <v/>
          </cell>
          <cell r="F985" t="str">
            <v/>
          </cell>
          <cell r="G985" t="str">
            <v/>
          </cell>
          <cell r="K985" t="str">
            <v/>
          </cell>
          <cell r="L985" t="str">
            <v/>
          </cell>
          <cell r="N985">
            <v>0</v>
          </cell>
        </row>
        <row r="986">
          <cell r="B986">
            <v>205</v>
          </cell>
          <cell r="E986" t="str">
            <v/>
          </cell>
          <cell r="F986" t="str">
            <v/>
          </cell>
          <cell r="G986" t="str">
            <v/>
          </cell>
          <cell r="K986" t="str">
            <v/>
          </cell>
          <cell r="L986" t="str">
            <v/>
          </cell>
          <cell r="N986">
            <v>0</v>
          </cell>
        </row>
        <row r="987">
          <cell r="B987">
            <v>205</v>
          </cell>
          <cell r="E987" t="str">
            <v/>
          </cell>
          <cell r="F987" t="str">
            <v/>
          </cell>
          <cell r="G987" t="str">
            <v/>
          </cell>
          <cell r="K987" t="str">
            <v/>
          </cell>
          <cell r="L987" t="str">
            <v/>
          </cell>
          <cell r="N987">
            <v>0</v>
          </cell>
        </row>
        <row r="988">
          <cell r="B988">
            <v>205</v>
          </cell>
          <cell r="E988" t="str">
            <v/>
          </cell>
          <cell r="F988" t="str">
            <v/>
          </cell>
          <cell r="G988" t="str">
            <v/>
          </cell>
          <cell r="K988" t="str">
            <v/>
          </cell>
          <cell r="L988" t="str">
            <v/>
          </cell>
          <cell r="N988">
            <v>0</v>
          </cell>
        </row>
        <row r="989">
          <cell r="B989">
            <v>205</v>
          </cell>
          <cell r="E989" t="str">
            <v/>
          </cell>
          <cell r="F989" t="str">
            <v/>
          </cell>
          <cell r="G989" t="str">
            <v/>
          </cell>
          <cell r="K989" t="str">
            <v/>
          </cell>
          <cell r="L989" t="str">
            <v/>
          </cell>
          <cell r="N989">
            <v>0</v>
          </cell>
        </row>
        <row r="990">
          <cell r="B990">
            <v>205</v>
          </cell>
          <cell r="E990" t="str">
            <v/>
          </cell>
          <cell r="F990" t="str">
            <v/>
          </cell>
          <cell r="G990" t="str">
            <v/>
          </cell>
          <cell r="K990" t="str">
            <v/>
          </cell>
          <cell r="L990" t="str">
            <v/>
          </cell>
          <cell r="N990">
            <v>0</v>
          </cell>
        </row>
        <row r="991">
          <cell r="B991">
            <v>205</v>
          </cell>
          <cell r="E991" t="str">
            <v/>
          </cell>
          <cell r="F991" t="str">
            <v/>
          </cell>
          <cell r="G991" t="str">
            <v/>
          </cell>
          <cell r="K991" t="str">
            <v/>
          </cell>
          <cell r="L991" t="str">
            <v/>
          </cell>
          <cell r="N991">
            <v>0</v>
          </cell>
        </row>
        <row r="992">
          <cell r="B992">
            <v>205</v>
          </cell>
          <cell r="E992" t="str">
            <v/>
          </cell>
          <cell r="F992" t="str">
            <v/>
          </cell>
          <cell r="G992" t="str">
            <v/>
          </cell>
          <cell r="K992" t="str">
            <v/>
          </cell>
          <cell r="L992" t="str">
            <v/>
          </cell>
          <cell r="N992">
            <v>0</v>
          </cell>
        </row>
        <row r="993">
          <cell r="B993">
            <v>205</v>
          </cell>
          <cell r="E993" t="str">
            <v/>
          </cell>
          <cell r="F993" t="str">
            <v/>
          </cell>
          <cell r="G993" t="str">
            <v/>
          </cell>
          <cell r="K993" t="str">
            <v/>
          </cell>
          <cell r="L993" t="str">
            <v/>
          </cell>
          <cell r="N993">
            <v>0</v>
          </cell>
        </row>
        <row r="994">
          <cell r="B994">
            <v>205</v>
          </cell>
          <cell r="E994" t="str">
            <v/>
          </cell>
          <cell r="F994" t="str">
            <v/>
          </cell>
          <cell r="G994" t="str">
            <v/>
          </cell>
          <cell r="K994" t="str">
            <v/>
          </cell>
          <cell r="L994" t="str">
            <v/>
          </cell>
          <cell r="N994">
            <v>0</v>
          </cell>
        </row>
        <row r="995">
          <cell r="B995">
            <v>205</v>
          </cell>
          <cell r="E995" t="str">
            <v/>
          </cell>
          <cell r="F995" t="str">
            <v/>
          </cell>
          <cell r="G995" t="str">
            <v/>
          </cell>
          <cell r="K995" t="str">
            <v/>
          </cell>
          <cell r="L995" t="str">
            <v/>
          </cell>
          <cell r="N995">
            <v>0</v>
          </cell>
        </row>
        <row r="996">
          <cell r="B996">
            <v>205</v>
          </cell>
          <cell r="E996" t="str">
            <v/>
          </cell>
          <cell r="F996" t="str">
            <v/>
          </cell>
          <cell r="G996" t="str">
            <v/>
          </cell>
          <cell r="K996" t="str">
            <v/>
          </cell>
          <cell r="L996" t="str">
            <v/>
          </cell>
          <cell r="N996">
            <v>0</v>
          </cell>
        </row>
        <row r="997">
          <cell r="B997">
            <v>205</v>
          </cell>
          <cell r="E997" t="str">
            <v/>
          </cell>
          <cell r="F997" t="str">
            <v/>
          </cell>
          <cell r="G997" t="str">
            <v/>
          </cell>
          <cell r="K997" t="str">
            <v/>
          </cell>
          <cell r="L997" t="str">
            <v/>
          </cell>
          <cell r="N997">
            <v>0</v>
          </cell>
        </row>
        <row r="998">
          <cell r="B998">
            <v>205</v>
          </cell>
          <cell r="E998" t="str">
            <v/>
          </cell>
          <cell r="F998" t="str">
            <v/>
          </cell>
          <cell r="G998" t="str">
            <v/>
          </cell>
          <cell r="K998" t="str">
            <v/>
          </cell>
          <cell r="L998" t="str">
            <v/>
          </cell>
          <cell r="N998">
            <v>0</v>
          </cell>
        </row>
        <row r="999">
          <cell r="B999">
            <v>205</v>
          </cell>
          <cell r="E999" t="str">
            <v/>
          </cell>
          <cell r="F999" t="str">
            <v/>
          </cell>
          <cell r="G999" t="str">
            <v/>
          </cell>
          <cell r="K999" t="str">
            <v/>
          </cell>
          <cell r="L999" t="str">
            <v/>
          </cell>
          <cell r="N999">
            <v>0</v>
          </cell>
        </row>
        <row r="1000">
          <cell r="B1000">
            <v>205</v>
          </cell>
          <cell r="E1000" t="str">
            <v/>
          </cell>
          <cell r="F1000" t="str">
            <v/>
          </cell>
          <cell r="G1000" t="str">
            <v/>
          </cell>
          <cell r="K1000" t="str">
            <v/>
          </cell>
          <cell r="L1000" t="str">
            <v/>
          </cell>
          <cell r="N1000">
            <v>0</v>
          </cell>
        </row>
        <row r="1001">
          <cell r="B1001">
            <v>205</v>
          </cell>
          <cell r="E1001" t="str">
            <v/>
          </cell>
          <cell r="F1001" t="str">
            <v/>
          </cell>
          <cell r="G1001" t="str">
            <v/>
          </cell>
          <cell r="K1001" t="str">
            <v/>
          </cell>
          <cell r="L1001" t="str">
            <v/>
          </cell>
          <cell r="N1001">
            <v>0</v>
          </cell>
        </row>
        <row r="1002">
          <cell r="B1002">
            <v>205</v>
          </cell>
          <cell r="E1002" t="str">
            <v/>
          </cell>
          <cell r="F1002" t="str">
            <v/>
          </cell>
          <cell r="G1002" t="str">
            <v/>
          </cell>
          <cell r="K1002" t="str">
            <v/>
          </cell>
          <cell r="L1002" t="str">
            <v/>
          </cell>
          <cell r="N1002">
            <v>0</v>
          </cell>
        </row>
        <row r="1003">
          <cell r="B1003">
            <v>205</v>
          </cell>
          <cell r="E1003" t="str">
            <v/>
          </cell>
          <cell r="F1003" t="str">
            <v/>
          </cell>
          <cell r="G1003" t="str">
            <v/>
          </cell>
          <cell r="K1003" t="str">
            <v/>
          </cell>
          <cell r="L1003" t="str">
            <v/>
          </cell>
          <cell r="N1003">
            <v>0</v>
          </cell>
        </row>
        <row r="1004">
          <cell r="B1004">
            <v>205</v>
          </cell>
          <cell r="E1004" t="str">
            <v/>
          </cell>
          <cell r="F1004" t="str">
            <v/>
          </cell>
          <cell r="G1004" t="str">
            <v/>
          </cell>
          <cell r="K1004" t="str">
            <v/>
          </cell>
          <cell r="L1004" t="str">
            <v/>
          </cell>
          <cell r="N1004">
            <v>0</v>
          </cell>
        </row>
        <row r="1005">
          <cell r="B1005">
            <v>205</v>
          </cell>
          <cell r="E1005" t="str">
            <v/>
          </cell>
          <cell r="F1005" t="str">
            <v/>
          </cell>
          <cell r="G1005" t="str">
            <v/>
          </cell>
          <cell r="K1005" t="str">
            <v/>
          </cell>
          <cell r="L1005" t="str">
            <v/>
          </cell>
          <cell r="N1005">
            <v>0</v>
          </cell>
        </row>
        <row r="1006">
          <cell r="B1006">
            <v>205</v>
          </cell>
          <cell r="E1006" t="str">
            <v/>
          </cell>
          <cell r="F1006" t="str">
            <v/>
          </cell>
          <cell r="G1006" t="str">
            <v/>
          </cell>
          <cell r="K1006" t="str">
            <v/>
          </cell>
          <cell r="L1006" t="str">
            <v/>
          </cell>
          <cell r="N1006">
            <v>0</v>
          </cell>
        </row>
        <row r="1007">
          <cell r="B1007">
            <v>205</v>
          </cell>
          <cell r="E1007" t="str">
            <v/>
          </cell>
          <cell r="F1007" t="str">
            <v/>
          </cell>
          <cell r="G1007" t="str">
            <v/>
          </cell>
          <cell r="K1007" t="str">
            <v/>
          </cell>
          <cell r="L1007" t="str">
            <v/>
          </cell>
          <cell r="N1007">
            <v>0</v>
          </cell>
        </row>
        <row r="1008">
          <cell r="B1008">
            <v>205</v>
          </cell>
          <cell r="E1008" t="str">
            <v/>
          </cell>
          <cell r="F1008" t="str">
            <v/>
          </cell>
          <cell r="G1008" t="str">
            <v/>
          </cell>
          <cell r="K1008" t="str">
            <v/>
          </cell>
          <cell r="L1008" t="str">
            <v/>
          </cell>
          <cell r="N1008">
            <v>0</v>
          </cell>
        </row>
        <row r="1009">
          <cell r="B1009">
            <v>205</v>
          </cell>
          <cell r="E1009" t="str">
            <v/>
          </cell>
          <cell r="F1009" t="str">
            <v/>
          </cell>
          <cell r="G1009" t="str">
            <v/>
          </cell>
          <cell r="K1009" t="str">
            <v/>
          </cell>
          <cell r="L1009" t="str">
            <v/>
          </cell>
          <cell r="N1009">
            <v>0</v>
          </cell>
        </row>
        <row r="1010">
          <cell r="B1010">
            <v>205</v>
          </cell>
          <cell r="E1010" t="str">
            <v/>
          </cell>
          <cell r="F1010" t="str">
            <v/>
          </cell>
          <cell r="G1010" t="str">
            <v/>
          </cell>
          <cell r="K1010" t="str">
            <v/>
          </cell>
          <cell r="L1010" t="str">
            <v/>
          </cell>
          <cell r="N1010">
            <v>0</v>
          </cell>
        </row>
        <row r="1011">
          <cell r="B1011">
            <v>205</v>
          </cell>
          <cell r="E1011" t="str">
            <v/>
          </cell>
          <cell r="F1011" t="str">
            <v/>
          </cell>
          <cell r="G1011" t="str">
            <v/>
          </cell>
          <cell r="K1011" t="str">
            <v/>
          </cell>
          <cell r="L1011" t="str">
            <v/>
          </cell>
          <cell r="N1011">
            <v>0</v>
          </cell>
        </row>
        <row r="1012">
          <cell r="B1012">
            <v>205</v>
          </cell>
          <cell r="E1012" t="str">
            <v/>
          </cell>
          <cell r="F1012" t="str">
            <v/>
          </cell>
          <cell r="G1012" t="str">
            <v/>
          </cell>
          <cell r="K1012" t="str">
            <v/>
          </cell>
          <cell r="L1012" t="str">
            <v/>
          </cell>
          <cell r="N1012">
            <v>0</v>
          </cell>
        </row>
        <row r="1013">
          <cell r="B1013">
            <v>205</v>
          </cell>
          <cell r="E1013" t="str">
            <v/>
          </cell>
          <cell r="F1013" t="str">
            <v/>
          </cell>
          <cell r="G1013" t="str">
            <v/>
          </cell>
          <cell r="K1013" t="str">
            <v/>
          </cell>
          <cell r="L1013" t="str">
            <v/>
          </cell>
          <cell r="N1013">
            <v>0</v>
          </cell>
        </row>
        <row r="1014">
          <cell r="B1014">
            <v>205</v>
          </cell>
          <cell r="E1014" t="str">
            <v/>
          </cell>
          <cell r="F1014" t="str">
            <v/>
          </cell>
          <cell r="G1014" t="str">
            <v/>
          </cell>
          <cell r="K1014" t="str">
            <v/>
          </cell>
          <cell r="L1014" t="str">
            <v/>
          </cell>
          <cell r="N1014">
            <v>0</v>
          </cell>
        </row>
        <row r="1015">
          <cell r="B1015">
            <v>205</v>
          </cell>
          <cell r="E1015" t="str">
            <v/>
          </cell>
          <cell r="F1015" t="str">
            <v/>
          </cell>
          <cell r="G1015" t="str">
            <v/>
          </cell>
          <cell r="K1015" t="str">
            <v/>
          </cell>
          <cell r="L1015" t="str">
            <v/>
          </cell>
          <cell r="N1015">
            <v>0</v>
          </cell>
        </row>
        <row r="1016">
          <cell r="B1016">
            <v>205</v>
          </cell>
          <cell r="E1016" t="str">
            <v/>
          </cell>
          <cell r="F1016" t="str">
            <v/>
          </cell>
          <cell r="G1016" t="str">
            <v/>
          </cell>
          <cell r="K1016" t="str">
            <v/>
          </cell>
          <cell r="L1016" t="str">
            <v/>
          </cell>
          <cell r="N1016">
            <v>0</v>
          </cell>
        </row>
        <row r="1017">
          <cell r="B1017">
            <v>205</v>
          </cell>
          <cell r="E1017" t="str">
            <v/>
          </cell>
          <cell r="F1017" t="str">
            <v/>
          </cell>
          <cell r="G1017" t="str">
            <v/>
          </cell>
          <cell r="K1017" t="str">
            <v/>
          </cell>
          <cell r="L1017" t="str">
            <v/>
          </cell>
          <cell r="N1017">
            <v>0</v>
          </cell>
        </row>
        <row r="1018">
          <cell r="B1018">
            <v>205</v>
          </cell>
          <cell r="E1018" t="str">
            <v/>
          </cell>
          <cell r="F1018" t="str">
            <v/>
          </cell>
          <cell r="G1018" t="str">
            <v/>
          </cell>
          <cell r="K1018" t="str">
            <v/>
          </cell>
          <cell r="L1018" t="str">
            <v/>
          </cell>
          <cell r="N1018">
            <v>0</v>
          </cell>
        </row>
        <row r="1019">
          <cell r="B1019">
            <v>205</v>
          </cell>
          <cell r="E1019" t="str">
            <v/>
          </cell>
          <cell r="F1019" t="str">
            <v/>
          </cell>
          <cell r="G1019" t="str">
            <v/>
          </cell>
          <cell r="K1019" t="str">
            <v/>
          </cell>
          <cell r="L1019" t="str">
            <v/>
          </cell>
          <cell r="N1019">
            <v>0</v>
          </cell>
        </row>
        <row r="1020">
          <cell r="B1020">
            <v>205</v>
          </cell>
          <cell r="E1020" t="str">
            <v/>
          </cell>
          <cell r="F1020" t="str">
            <v/>
          </cell>
          <cell r="G1020" t="str">
            <v/>
          </cell>
          <cell r="K1020" t="str">
            <v/>
          </cell>
          <cell r="L1020" t="str">
            <v/>
          </cell>
          <cell r="N1020">
            <v>0</v>
          </cell>
        </row>
        <row r="1021">
          <cell r="B1021">
            <v>205</v>
          </cell>
          <cell r="E1021" t="str">
            <v/>
          </cell>
          <cell r="F1021" t="str">
            <v/>
          </cell>
          <cell r="G1021" t="str">
            <v/>
          </cell>
          <cell r="K1021" t="str">
            <v/>
          </cell>
          <cell r="L1021" t="str">
            <v/>
          </cell>
          <cell r="N1021">
            <v>0</v>
          </cell>
        </row>
        <row r="1022">
          <cell r="B1022">
            <v>205</v>
          </cell>
          <cell r="E1022" t="str">
            <v/>
          </cell>
          <cell r="F1022" t="str">
            <v/>
          </cell>
          <cell r="G1022" t="str">
            <v/>
          </cell>
          <cell r="K1022" t="str">
            <v/>
          </cell>
          <cell r="L1022" t="str">
            <v/>
          </cell>
          <cell r="N1022">
            <v>0</v>
          </cell>
        </row>
        <row r="1023">
          <cell r="B1023">
            <v>205</v>
          </cell>
          <cell r="E1023" t="str">
            <v/>
          </cell>
          <cell r="F1023" t="str">
            <v/>
          </cell>
          <cell r="G1023" t="str">
            <v/>
          </cell>
          <cell r="K1023" t="str">
            <v/>
          </cell>
          <cell r="L1023" t="str">
            <v/>
          </cell>
          <cell r="N1023">
            <v>0</v>
          </cell>
        </row>
        <row r="1024">
          <cell r="B1024">
            <v>205</v>
          </cell>
          <cell r="E1024" t="str">
            <v/>
          </cell>
          <cell r="F1024" t="str">
            <v/>
          </cell>
          <cell r="G1024" t="str">
            <v/>
          </cell>
          <cell r="K1024" t="str">
            <v/>
          </cell>
          <cell r="L1024" t="str">
            <v/>
          </cell>
          <cell r="N1024">
            <v>0</v>
          </cell>
        </row>
        <row r="1025">
          <cell r="B1025">
            <v>205</v>
          </cell>
          <cell r="E1025" t="str">
            <v/>
          </cell>
          <cell r="F1025" t="str">
            <v/>
          </cell>
          <cell r="G1025" t="str">
            <v/>
          </cell>
          <cell r="K1025" t="str">
            <v/>
          </cell>
          <cell r="L1025" t="str">
            <v/>
          </cell>
          <cell r="N1025">
            <v>0</v>
          </cell>
        </row>
        <row r="1026">
          <cell r="B1026">
            <v>205</v>
          </cell>
          <cell r="E1026" t="str">
            <v/>
          </cell>
          <cell r="F1026" t="str">
            <v/>
          </cell>
          <cell r="G1026" t="str">
            <v/>
          </cell>
          <cell r="K1026" t="str">
            <v/>
          </cell>
          <cell r="L1026" t="str">
            <v/>
          </cell>
          <cell r="N1026">
            <v>0</v>
          </cell>
        </row>
        <row r="1027">
          <cell r="B1027">
            <v>205</v>
          </cell>
          <cell r="E1027" t="str">
            <v/>
          </cell>
          <cell r="F1027" t="str">
            <v/>
          </cell>
          <cell r="G1027" t="str">
            <v/>
          </cell>
          <cell r="K1027" t="str">
            <v/>
          </cell>
          <cell r="L1027" t="str">
            <v/>
          </cell>
          <cell r="N1027">
            <v>0</v>
          </cell>
        </row>
        <row r="1028">
          <cell r="B1028">
            <v>205</v>
          </cell>
          <cell r="E1028" t="str">
            <v/>
          </cell>
          <cell r="F1028" t="str">
            <v/>
          </cell>
          <cell r="G1028" t="str">
            <v/>
          </cell>
          <cell r="K1028" t="str">
            <v/>
          </cell>
          <cell r="L1028" t="str">
            <v/>
          </cell>
          <cell r="N1028">
            <v>0</v>
          </cell>
        </row>
        <row r="1029">
          <cell r="B1029">
            <v>205</v>
          </cell>
          <cell r="E1029" t="str">
            <v/>
          </cell>
          <cell r="F1029" t="str">
            <v/>
          </cell>
          <cell r="G1029" t="str">
            <v/>
          </cell>
          <cell r="K1029" t="str">
            <v/>
          </cell>
          <cell r="L1029" t="str">
            <v/>
          </cell>
          <cell r="N1029">
            <v>0</v>
          </cell>
        </row>
        <row r="1030">
          <cell r="B1030">
            <v>205</v>
          </cell>
          <cell r="E1030" t="str">
            <v/>
          </cell>
          <cell r="F1030" t="str">
            <v/>
          </cell>
          <cell r="G1030" t="str">
            <v/>
          </cell>
          <cell r="K1030" t="str">
            <v/>
          </cell>
          <cell r="L1030" t="str">
            <v/>
          </cell>
          <cell r="N1030">
            <v>0</v>
          </cell>
        </row>
        <row r="1031">
          <cell r="B1031">
            <v>205</v>
          </cell>
          <cell r="E1031" t="str">
            <v/>
          </cell>
          <cell r="F1031" t="str">
            <v/>
          </cell>
          <cell r="G1031" t="str">
            <v/>
          </cell>
          <cell r="K1031" t="str">
            <v/>
          </cell>
          <cell r="L1031" t="str">
            <v/>
          </cell>
          <cell r="N1031">
            <v>0</v>
          </cell>
        </row>
        <row r="1032">
          <cell r="B1032">
            <v>205</v>
          </cell>
          <cell r="E1032" t="str">
            <v/>
          </cell>
          <cell r="F1032" t="str">
            <v/>
          </cell>
          <cell r="G1032" t="str">
            <v/>
          </cell>
          <cell r="K1032" t="str">
            <v/>
          </cell>
          <cell r="L1032" t="str">
            <v/>
          </cell>
          <cell r="N1032">
            <v>0</v>
          </cell>
        </row>
        <row r="1033">
          <cell r="B1033">
            <v>205</v>
          </cell>
          <cell r="E1033" t="str">
            <v/>
          </cell>
          <cell r="F1033" t="str">
            <v/>
          </cell>
          <cell r="G1033" t="str">
            <v/>
          </cell>
          <cell r="K1033" t="str">
            <v/>
          </cell>
          <cell r="L1033" t="str">
            <v/>
          </cell>
          <cell r="N1033">
            <v>0</v>
          </cell>
        </row>
        <row r="1034">
          <cell r="B1034">
            <v>205</v>
          </cell>
          <cell r="E1034" t="str">
            <v/>
          </cell>
          <cell r="F1034" t="str">
            <v/>
          </cell>
          <cell r="G1034" t="str">
            <v/>
          </cell>
          <cell r="K1034" t="str">
            <v/>
          </cell>
          <cell r="L1034" t="str">
            <v/>
          </cell>
          <cell r="N1034">
            <v>0</v>
          </cell>
        </row>
        <row r="1035">
          <cell r="B1035">
            <v>205</v>
          </cell>
          <cell r="E1035" t="str">
            <v/>
          </cell>
          <cell r="F1035" t="str">
            <v/>
          </cell>
          <cell r="G1035" t="str">
            <v/>
          </cell>
          <cell r="K1035" t="str">
            <v/>
          </cell>
          <cell r="L1035" t="str">
            <v/>
          </cell>
          <cell r="N1035">
            <v>0</v>
          </cell>
        </row>
        <row r="1036">
          <cell r="B1036">
            <v>205</v>
          </cell>
          <cell r="E1036" t="str">
            <v/>
          </cell>
          <cell r="F1036" t="str">
            <v/>
          </cell>
          <cell r="G1036" t="str">
            <v/>
          </cell>
          <cell r="K1036" t="str">
            <v/>
          </cell>
          <cell r="L1036" t="str">
            <v/>
          </cell>
          <cell r="N1036">
            <v>0</v>
          </cell>
        </row>
        <row r="1037">
          <cell r="B1037">
            <v>205</v>
          </cell>
          <cell r="E1037" t="str">
            <v/>
          </cell>
          <cell r="F1037" t="str">
            <v/>
          </cell>
          <cell r="G1037" t="str">
            <v/>
          </cell>
          <cell r="K1037" t="str">
            <v/>
          </cell>
          <cell r="L1037" t="str">
            <v/>
          </cell>
          <cell r="N1037">
            <v>0</v>
          </cell>
        </row>
        <row r="1038">
          <cell r="B1038">
            <v>205</v>
          </cell>
          <cell r="E1038" t="str">
            <v/>
          </cell>
          <cell r="F1038" t="str">
            <v/>
          </cell>
          <cell r="G1038" t="str">
            <v/>
          </cell>
          <cell r="K1038" t="str">
            <v/>
          </cell>
          <cell r="L1038" t="str">
            <v/>
          </cell>
          <cell r="N1038">
            <v>0</v>
          </cell>
        </row>
        <row r="1039">
          <cell r="B1039">
            <v>205</v>
          </cell>
          <cell r="E1039" t="str">
            <v/>
          </cell>
          <cell r="F1039" t="str">
            <v/>
          </cell>
          <cell r="G1039" t="str">
            <v/>
          </cell>
          <cell r="K1039" t="str">
            <v/>
          </cell>
          <cell r="L1039" t="str">
            <v/>
          </cell>
          <cell r="N1039">
            <v>0</v>
          </cell>
        </row>
        <row r="1040">
          <cell r="B1040">
            <v>205</v>
          </cell>
          <cell r="E1040" t="str">
            <v/>
          </cell>
          <cell r="F1040" t="str">
            <v/>
          </cell>
          <cell r="G1040" t="str">
            <v/>
          </cell>
          <cell r="K1040" t="str">
            <v/>
          </cell>
          <cell r="L1040" t="str">
            <v/>
          </cell>
          <cell r="N1040">
            <v>0</v>
          </cell>
        </row>
        <row r="1041">
          <cell r="B1041">
            <v>205</v>
          </cell>
          <cell r="E1041" t="str">
            <v/>
          </cell>
          <cell r="F1041" t="str">
            <v/>
          </cell>
          <cell r="G1041" t="str">
            <v/>
          </cell>
          <cell r="K1041" t="str">
            <v/>
          </cell>
          <cell r="L1041" t="str">
            <v/>
          </cell>
          <cell r="N1041">
            <v>0</v>
          </cell>
        </row>
        <row r="1042">
          <cell r="B1042">
            <v>205</v>
          </cell>
          <cell r="E1042" t="str">
            <v/>
          </cell>
          <cell r="F1042" t="str">
            <v/>
          </cell>
          <cell r="G1042" t="str">
            <v/>
          </cell>
          <cell r="K1042" t="str">
            <v/>
          </cell>
          <cell r="L1042" t="str">
            <v/>
          </cell>
          <cell r="N1042">
            <v>0</v>
          </cell>
        </row>
        <row r="1043">
          <cell r="B1043">
            <v>205</v>
          </cell>
          <cell r="E1043" t="str">
            <v/>
          </cell>
          <cell r="F1043" t="str">
            <v/>
          </cell>
          <cell r="G1043" t="str">
            <v/>
          </cell>
          <cell r="K1043" t="str">
            <v/>
          </cell>
          <cell r="L1043" t="str">
            <v/>
          </cell>
          <cell r="N1043">
            <v>0</v>
          </cell>
        </row>
        <row r="1044">
          <cell r="B1044">
            <v>205</v>
          </cell>
          <cell r="E1044" t="str">
            <v/>
          </cell>
          <cell r="F1044" t="str">
            <v/>
          </cell>
          <cell r="G1044" t="str">
            <v/>
          </cell>
          <cell r="K1044" t="str">
            <v/>
          </cell>
          <cell r="L1044" t="str">
            <v/>
          </cell>
          <cell r="N1044">
            <v>0</v>
          </cell>
        </row>
        <row r="1045">
          <cell r="B1045">
            <v>205</v>
          </cell>
          <cell r="E1045" t="str">
            <v/>
          </cell>
          <cell r="F1045" t="str">
            <v/>
          </cell>
          <cell r="G1045" t="str">
            <v/>
          </cell>
          <cell r="K1045" t="str">
            <v/>
          </cell>
          <cell r="L1045" t="str">
            <v/>
          </cell>
          <cell r="N1045">
            <v>0</v>
          </cell>
        </row>
        <row r="1046">
          <cell r="B1046">
            <v>205</v>
          </cell>
          <cell r="E1046" t="str">
            <v/>
          </cell>
          <cell r="F1046" t="str">
            <v/>
          </cell>
          <cell r="G1046" t="str">
            <v/>
          </cell>
          <cell r="K1046" t="str">
            <v/>
          </cell>
          <cell r="L1046" t="str">
            <v/>
          </cell>
          <cell r="N1046">
            <v>0</v>
          </cell>
        </row>
        <row r="1047">
          <cell r="B1047">
            <v>205</v>
          </cell>
          <cell r="E1047" t="str">
            <v/>
          </cell>
          <cell r="F1047" t="str">
            <v/>
          </cell>
          <cell r="G1047" t="str">
            <v/>
          </cell>
          <cell r="K1047" t="str">
            <v/>
          </cell>
          <cell r="L1047" t="str">
            <v/>
          </cell>
          <cell r="N1047">
            <v>0</v>
          </cell>
        </row>
        <row r="1048">
          <cell r="B1048">
            <v>205</v>
          </cell>
          <cell r="E1048" t="str">
            <v/>
          </cell>
          <cell r="F1048" t="str">
            <v/>
          </cell>
          <cell r="G1048" t="str">
            <v/>
          </cell>
          <cell r="K1048" t="str">
            <v/>
          </cell>
          <cell r="L1048" t="str">
            <v/>
          </cell>
          <cell r="N1048">
            <v>0</v>
          </cell>
        </row>
        <row r="1049">
          <cell r="B1049">
            <v>205</v>
          </cell>
          <cell r="E1049" t="str">
            <v/>
          </cell>
          <cell r="F1049" t="str">
            <v/>
          </cell>
          <cell r="G1049" t="str">
            <v/>
          </cell>
          <cell r="K1049" t="str">
            <v/>
          </cell>
          <cell r="L1049" t="str">
            <v/>
          </cell>
          <cell r="N1049">
            <v>0</v>
          </cell>
        </row>
        <row r="1050">
          <cell r="B1050">
            <v>205</v>
          </cell>
          <cell r="E1050" t="str">
            <v/>
          </cell>
          <cell r="F1050" t="str">
            <v/>
          </cell>
          <cell r="G1050" t="str">
            <v/>
          </cell>
          <cell r="K1050" t="str">
            <v/>
          </cell>
          <cell r="L1050" t="str">
            <v/>
          </cell>
          <cell r="N1050">
            <v>0</v>
          </cell>
        </row>
        <row r="1051">
          <cell r="B1051">
            <v>205</v>
          </cell>
          <cell r="E1051" t="str">
            <v/>
          </cell>
          <cell r="F1051" t="str">
            <v/>
          </cell>
          <cell r="G1051" t="str">
            <v/>
          </cell>
          <cell r="K1051" t="str">
            <v/>
          </cell>
          <cell r="L1051" t="str">
            <v/>
          </cell>
          <cell r="N1051">
            <v>0</v>
          </cell>
        </row>
        <row r="1052">
          <cell r="B1052">
            <v>205</v>
          </cell>
          <cell r="E1052" t="str">
            <v/>
          </cell>
          <cell r="F1052" t="str">
            <v/>
          </cell>
          <cell r="G1052" t="str">
            <v/>
          </cell>
          <cell r="K1052" t="str">
            <v/>
          </cell>
          <cell r="L1052" t="str">
            <v/>
          </cell>
          <cell r="N1052">
            <v>0</v>
          </cell>
        </row>
        <row r="1053">
          <cell r="B1053">
            <v>205</v>
          </cell>
          <cell r="E1053" t="str">
            <v/>
          </cell>
          <cell r="F1053" t="str">
            <v/>
          </cell>
          <cell r="G1053" t="str">
            <v/>
          </cell>
          <cell r="K1053" t="str">
            <v/>
          </cell>
          <cell r="L1053" t="str">
            <v/>
          </cell>
          <cell r="N1053">
            <v>0</v>
          </cell>
        </row>
        <row r="1054">
          <cell r="B1054">
            <v>205</v>
          </cell>
          <cell r="E1054" t="str">
            <v/>
          </cell>
          <cell r="F1054" t="str">
            <v/>
          </cell>
          <cell r="G1054" t="str">
            <v/>
          </cell>
          <cell r="K1054" t="str">
            <v/>
          </cell>
          <cell r="L1054" t="str">
            <v/>
          </cell>
          <cell r="N1054">
            <v>0</v>
          </cell>
        </row>
        <row r="1055">
          <cell r="B1055">
            <v>205</v>
          </cell>
          <cell r="E1055" t="str">
            <v/>
          </cell>
          <cell r="F1055" t="str">
            <v/>
          </cell>
          <cell r="G1055" t="str">
            <v/>
          </cell>
          <cell r="K1055" t="str">
            <v/>
          </cell>
          <cell r="L1055" t="str">
            <v/>
          </cell>
          <cell r="N1055">
            <v>0</v>
          </cell>
        </row>
        <row r="1056">
          <cell r="B1056">
            <v>205</v>
          </cell>
          <cell r="E1056" t="str">
            <v/>
          </cell>
          <cell r="F1056" t="str">
            <v/>
          </cell>
          <cell r="G1056" t="str">
            <v/>
          </cell>
          <cell r="K1056" t="str">
            <v/>
          </cell>
          <cell r="L1056" t="str">
            <v/>
          </cell>
          <cell r="N1056">
            <v>0</v>
          </cell>
        </row>
        <row r="1057">
          <cell r="B1057">
            <v>205</v>
          </cell>
          <cell r="E1057" t="str">
            <v/>
          </cell>
          <cell r="F1057" t="str">
            <v/>
          </cell>
          <cell r="G1057" t="str">
            <v/>
          </cell>
          <cell r="K1057" t="str">
            <v/>
          </cell>
          <cell r="L1057" t="str">
            <v/>
          </cell>
          <cell r="N1057">
            <v>0</v>
          </cell>
        </row>
        <row r="1058">
          <cell r="B1058">
            <v>205</v>
          </cell>
          <cell r="E1058" t="str">
            <v/>
          </cell>
          <cell r="F1058" t="str">
            <v/>
          </cell>
          <cell r="G1058" t="str">
            <v/>
          </cell>
          <cell r="K1058" t="str">
            <v/>
          </cell>
          <cell r="L1058" t="str">
            <v/>
          </cell>
          <cell r="N1058">
            <v>0</v>
          </cell>
        </row>
        <row r="1059">
          <cell r="B1059">
            <v>205</v>
          </cell>
          <cell r="E1059" t="str">
            <v/>
          </cell>
          <cell r="F1059" t="str">
            <v/>
          </cell>
          <cell r="G1059" t="str">
            <v/>
          </cell>
          <cell r="K1059" t="str">
            <v/>
          </cell>
          <cell r="L1059" t="str">
            <v/>
          </cell>
          <cell r="N1059">
            <v>0</v>
          </cell>
        </row>
        <row r="1060">
          <cell r="B1060">
            <v>205</v>
          </cell>
          <cell r="E1060" t="str">
            <v/>
          </cell>
          <cell r="F1060" t="str">
            <v/>
          </cell>
          <cell r="G1060" t="str">
            <v/>
          </cell>
          <cell r="K1060" t="str">
            <v/>
          </cell>
          <cell r="L1060" t="str">
            <v/>
          </cell>
          <cell r="N1060">
            <v>0</v>
          </cell>
        </row>
        <row r="1061">
          <cell r="B1061">
            <v>205</v>
          </cell>
          <cell r="E1061" t="str">
            <v/>
          </cell>
          <cell r="F1061" t="str">
            <v/>
          </cell>
          <cell r="G1061" t="str">
            <v/>
          </cell>
          <cell r="K1061" t="str">
            <v/>
          </cell>
          <cell r="L1061" t="str">
            <v/>
          </cell>
          <cell r="N1061">
            <v>0</v>
          </cell>
        </row>
        <row r="1062">
          <cell r="B1062">
            <v>205</v>
          </cell>
          <cell r="E1062" t="str">
            <v/>
          </cell>
          <cell r="F1062" t="str">
            <v/>
          </cell>
          <cell r="G1062" t="str">
            <v/>
          </cell>
          <cell r="K1062" t="str">
            <v/>
          </cell>
          <cell r="L1062" t="str">
            <v/>
          </cell>
          <cell r="N1062">
            <v>0</v>
          </cell>
        </row>
        <row r="1063">
          <cell r="B1063">
            <v>205</v>
          </cell>
          <cell r="E1063" t="str">
            <v/>
          </cell>
          <cell r="F1063" t="str">
            <v/>
          </cell>
          <cell r="G1063" t="str">
            <v/>
          </cell>
          <cell r="K1063" t="str">
            <v/>
          </cell>
          <cell r="L1063" t="str">
            <v/>
          </cell>
          <cell r="N1063">
            <v>0</v>
          </cell>
        </row>
        <row r="1064">
          <cell r="B1064">
            <v>205</v>
          </cell>
          <cell r="E1064" t="str">
            <v/>
          </cell>
          <cell r="F1064" t="str">
            <v/>
          </cell>
          <cell r="G1064" t="str">
            <v/>
          </cell>
          <cell r="K1064" t="str">
            <v/>
          </cell>
          <cell r="L1064" t="str">
            <v/>
          </cell>
          <cell r="N1064">
            <v>0</v>
          </cell>
        </row>
        <row r="1065">
          <cell r="B1065">
            <v>205</v>
          </cell>
          <cell r="E1065" t="str">
            <v/>
          </cell>
          <cell r="F1065" t="str">
            <v/>
          </cell>
          <cell r="G1065" t="str">
            <v/>
          </cell>
          <cell r="K1065" t="str">
            <v/>
          </cell>
          <cell r="L1065" t="str">
            <v/>
          </cell>
          <cell r="N1065">
            <v>0</v>
          </cell>
        </row>
        <row r="1066">
          <cell r="B1066">
            <v>205</v>
          </cell>
          <cell r="E1066" t="str">
            <v/>
          </cell>
          <cell r="F1066" t="str">
            <v/>
          </cell>
          <cell r="G1066" t="str">
            <v/>
          </cell>
          <cell r="K1066" t="str">
            <v/>
          </cell>
          <cell r="L1066" t="str">
            <v/>
          </cell>
          <cell r="N1066">
            <v>0</v>
          </cell>
        </row>
        <row r="1067">
          <cell r="B1067">
            <v>205</v>
          </cell>
          <cell r="E1067" t="str">
            <v/>
          </cell>
          <cell r="F1067" t="str">
            <v/>
          </cell>
          <cell r="G1067" t="str">
            <v/>
          </cell>
          <cell r="K1067" t="str">
            <v/>
          </cell>
          <cell r="L1067" t="str">
            <v/>
          </cell>
          <cell r="N1067">
            <v>0</v>
          </cell>
        </row>
        <row r="1068">
          <cell r="B1068">
            <v>205</v>
          </cell>
          <cell r="E1068" t="str">
            <v/>
          </cell>
          <cell r="F1068" t="str">
            <v/>
          </cell>
          <cell r="G1068" t="str">
            <v/>
          </cell>
          <cell r="K1068" t="str">
            <v/>
          </cell>
          <cell r="L1068" t="str">
            <v/>
          </cell>
          <cell r="N1068">
            <v>0</v>
          </cell>
        </row>
        <row r="1069">
          <cell r="B1069">
            <v>205</v>
          </cell>
          <cell r="E1069" t="str">
            <v/>
          </cell>
          <cell r="F1069" t="str">
            <v/>
          </cell>
          <cell r="G1069" t="str">
            <v/>
          </cell>
          <cell r="K1069" t="str">
            <v/>
          </cell>
          <cell r="L1069" t="str">
            <v/>
          </cell>
          <cell r="N1069">
            <v>0</v>
          </cell>
        </row>
        <row r="1070">
          <cell r="B1070">
            <v>205</v>
          </cell>
          <cell r="E1070" t="str">
            <v/>
          </cell>
          <cell r="F1070" t="str">
            <v/>
          </cell>
          <cell r="G1070" t="str">
            <v/>
          </cell>
          <cell r="K1070" t="str">
            <v/>
          </cell>
          <cell r="L1070" t="str">
            <v/>
          </cell>
          <cell r="N1070">
            <v>0</v>
          </cell>
        </row>
        <row r="1071">
          <cell r="B1071">
            <v>205</v>
          </cell>
          <cell r="E1071" t="str">
            <v/>
          </cell>
          <cell r="F1071" t="str">
            <v/>
          </cell>
          <cell r="G1071" t="str">
            <v/>
          </cell>
          <cell r="K1071" t="str">
            <v/>
          </cell>
          <cell r="L1071" t="str">
            <v/>
          </cell>
          <cell r="N1071">
            <v>0</v>
          </cell>
        </row>
        <row r="1072">
          <cell r="B1072">
            <v>205</v>
          </cell>
          <cell r="E1072" t="str">
            <v/>
          </cell>
          <cell r="F1072" t="str">
            <v/>
          </cell>
          <cell r="G1072" t="str">
            <v/>
          </cell>
          <cell r="K1072" t="str">
            <v/>
          </cell>
          <cell r="L1072" t="str">
            <v/>
          </cell>
          <cell r="N1072">
            <v>0</v>
          </cell>
        </row>
        <row r="1073">
          <cell r="B1073">
            <v>205</v>
          </cell>
          <cell r="E1073" t="str">
            <v/>
          </cell>
          <cell r="F1073" t="str">
            <v/>
          </cell>
          <cell r="G1073" t="str">
            <v/>
          </cell>
          <cell r="K1073" t="str">
            <v/>
          </cell>
          <cell r="L1073" t="str">
            <v/>
          </cell>
          <cell r="N1073">
            <v>0</v>
          </cell>
        </row>
        <row r="1074">
          <cell r="B1074">
            <v>205</v>
          </cell>
          <cell r="E1074" t="str">
            <v/>
          </cell>
          <cell r="F1074" t="str">
            <v/>
          </cell>
          <cell r="G1074" t="str">
            <v/>
          </cell>
          <cell r="K1074" t="str">
            <v/>
          </cell>
          <cell r="L1074" t="str">
            <v/>
          </cell>
          <cell r="N1074">
            <v>0</v>
          </cell>
        </row>
        <row r="1075">
          <cell r="B1075">
            <v>205</v>
          </cell>
          <cell r="E1075" t="str">
            <v/>
          </cell>
          <cell r="F1075" t="str">
            <v/>
          </cell>
          <cell r="G1075" t="str">
            <v/>
          </cell>
          <cell r="K1075" t="str">
            <v/>
          </cell>
          <cell r="L1075" t="str">
            <v/>
          </cell>
          <cell r="N1075">
            <v>0</v>
          </cell>
        </row>
        <row r="1076">
          <cell r="B1076">
            <v>205</v>
          </cell>
          <cell r="E1076" t="str">
            <v/>
          </cell>
          <cell r="F1076" t="str">
            <v/>
          </cell>
          <cell r="G1076" t="str">
            <v/>
          </cell>
          <cell r="K1076" t="str">
            <v/>
          </cell>
          <cell r="L1076" t="str">
            <v/>
          </cell>
          <cell r="N1076">
            <v>0</v>
          </cell>
        </row>
        <row r="1077">
          <cell r="B1077">
            <v>205</v>
          </cell>
          <cell r="E1077" t="str">
            <v/>
          </cell>
          <cell r="F1077" t="str">
            <v/>
          </cell>
          <cell r="G1077" t="str">
            <v/>
          </cell>
          <cell r="K1077" t="str">
            <v/>
          </cell>
          <cell r="L1077" t="str">
            <v/>
          </cell>
          <cell r="N1077">
            <v>0</v>
          </cell>
        </row>
        <row r="1078">
          <cell r="B1078">
            <v>205</v>
          </cell>
          <cell r="E1078" t="str">
            <v/>
          </cell>
          <cell r="F1078" t="str">
            <v/>
          </cell>
          <cell r="G1078" t="str">
            <v/>
          </cell>
          <cell r="K1078" t="str">
            <v/>
          </cell>
          <cell r="L1078" t="str">
            <v/>
          </cell>
          <cell r="N1078">
            <v>0</v>
          </cell>
        </row>
        <row r="1079">
          <cell r="B1079">
            <v>205</v>
          </cell>
          <cell r="E1079" t="str">
            <v/>
          </cell>
          <cell r="F1079" t="str">
            <v/>
          </cell>
          <cell r="G1079" t="str">
            <v/>
          </cell>
          <cell r="K1079" t="str">
            <v/>
          </cell>
          <cell r="L1079" t="str">
            <v/>
          </cell>
          <cell r="N1079">
            <v>0</v>
          </cell>
        </row>
        <row r="1080">
          <cell r="B1080">
            <v>205</v>
          </cell>
          <cell r="E1080" t="str">
            <v/>
          </cell>
          <cell r="F1080" t="str">
            <v/>
          </cell>
          <cell r="G1080" t="str">
            <v/>
          </cell>
          <cell r="K1080" t="str">
            <v/>
          </cell>
          <cell r="L1080" t="str">
            <v/>
          </cell>
          <cell r="N1080">
            <v>0</v>
          </cell>
        </row>
        <row r="1081">
          <cell r="B1081">
            <v>205</v>
          </cell>
          <cell r="E1081" t="str">
            <v/>
          </cell>
          <cell r="F1081" t="str">
            <v/>
          </cell>
          <cell r="G1081" t="str">
            <v/>
          </cell>
          <cell r="K1081" t="str">
            <v/>
          </cell>
          <cell r="L1081" t="str">
            <v/>
          </cell>
          <cell r="N1081">
            <v>0</v>
          </cell>
        </row>
        <row r="1082">
          <cell r="B1082">
            <v>205</v>
          </cell>
          <cell r="E1082" t="str">
            <v/>
          </cell>
          <cell r="F1082" t="str">
            <v/>
          </cell>
          <cell r="G1082" t="str">
            <v/>
          </cell>
          <cell r="K1082" t="str">
            <v/>
          </cell>
          <cell r="L1082" t="str">
            <v/>
          </cell>
          <cell r="N1082">
            <v>0</v>
          </cell>
        </row>
        <row r="1083">
          <cell r="B1083">
            <v>205</v>
          </cell>
          <cell r="E1083" t="str">
            <v/>
          </cell>
          <cell r="F1083" t="str">
            <v/>
          </cell>
          <cell r="G1083" t="str">
            <v/>
          </cell>
          <cell r="K1083" t="str">
            <v/>
          </cell>
          <cell r="L1083" t="str">
            <v/>
          </cell>
          <cell r="N1083">
            <v>0</v>
          </cell>
        </row>
        <row r="1084">
          <cell r="B1084">
            <v>205</v>
          </cell>
          <cell r="E1084" t="str">
            <v/>
          </cell>
          <cell r="F1084" t="str">
            <v/>
          </cell>
          <cell r="G1084" t="str">
            <v/>
          </cell>
          <cell r="K1084" t="str">
            <v/>
          </cell>
          <cell r="L1084" t="str">
            <v/>
          </cell>
          <cell r="N1084">
            <v>0</v>
          </cell>
        </row>
        <row r="1085">
          <cell r="B1085">
            <v>205</v>
          </cell>
          <cell r="E1085" t="str">
            <v/>
          </cell>
          <cell r="F1085" t="str">
            <v/>
          </cell>
          <cell r="G1085" t="str">
            <v/>
          </cell>
          <cell r="K1085" t="str">
            <v/>
          </cell>
          <cell r="L1085" t="str">
            <v/>
          </cell>
          <cell r="N1085">
            <v>0</v>
          </cell>
        </row>
        <row r="1086">
          <cell r="B1086">
            <v>205</v>
          </cell>
          <cell r="E1086" t="str">
            <v/>
          </cell>
          <cell r="F1086" t="str">
            <v/>
          </cell>
          <cell r="G1086" t="str">
            <v/>
          </cell>
          <cell r="K1086" t="str">
            <v/>
          </cell>
          <cell r="L1086" t="str">
            <v/>
          </cell>
          <cell r="N1086">
            <v>0</v>
          </cell>
        </row>
        <row r="1087">
          <cell r="B1087">
            <v>205</v>
          </cell>
          <cell r="E1087" t="str">
            <v/>
          </cell>
          <cell r="F1087" t="str">
            <v/>
          </cell>
          <cell r="G1087" t="str">
            <v/>
          </cell>
          <cell r="K1087" t="str">
            <v/>
          </cell>
          <cell r="L1087" t="str">
            <v/>
          </cell>
          <cell r="N1087">
            <v>0</v>
          </cell>
        </row>
        <row r="1088">
          <cell r="B1088">
            <v>205</v>
          </cell>
          <cell r="E1088" t="str">
            <v/>
          </cell>
          <cell r="F1088" t="str">
            <v/>
          </cell>
          <cell r="G1088" t="str">
            <v/>
          </cell>
          <cell r="K1088" t="str">
            <v/>
          </cell>
          <cell r="L1088" t="str">
            <v/>
          </cell>
          <cell r="N1088">
            <v>0</v>
          </cell>
        </row>
        <row r="1089">
          <cell r="B1089">
            <v>205</v>
          </cell>
          <cell r="E1089" t="str">
            <v/>
          </cell>
          <cell r="F1089" t="str">
            <v/>
          </cell>
          <cell r="G1089" t="str">
            <v/>
          </cell>
          <cell r="K1089" t="str">
            <v/>
          </cell>
          <cell r="L1089" t="str">
            <v/>
          </cell>
          <cell r="N1089">
            <v>0</v>
          </cell>
        </row>
        <row r="1090">
          <cell r="B1090">
            <v>205</v>
          </cell>
          <cell r="E1090" t="str">
            <v/>
          </cell>
          <cell r="F1090" t="str">
            <v/>
          </cell>
          <cell r="G1090" t="str">
            <v/>
          </cell>
          <cell r="K1090" t="str">
            <v/>
          </cell>
          <cell r="L1090" t="str">
            <v/>
          </cell>
          <cell r="N1090">
            <v>0</v>
          </cell>
        </row>
        <row r="1091">
          <cell r="B1091">
            <v>205</v>
          </cell>
          <cell r="E1091" t="str">
            <v/>
          </cell>
          <cell r="F1091" t="str">
            <v/>
          </cell>
          <cell r="G1091" t="str">
            <v/>
          </cell>
          <cell r="K1091" t="str">
            <v/>
          </cell>
          <cell r="L1091" t="str">
            <v/>
          </cell>
          <cell r="N1091">
            <v>0</v>
          </cell>
        </row>
        <row r="1092">
          <cell r="B1092">
            <v>205</v>
          </cell>
          <cell r="E1092" t="str">
            <v/>
          </cell>
          <cell r="F1092" t="str">
            <v/>
          </cell>
          <cell r="G1092" t="str">
            <v/>
          </cell>
          <cell r="K1092" t="str">
            <v/>
          </cell>
          <cell r="L1092" t="str">
            <v/>
          </cell>
          <cell r="N1092">
            <v>0</v>
          </cell>
        </row>
        <row r="1093">
          <cell r="B1093">
            <v>205</v>
          </cell>
          <cell r="E1093" t="str">
            <v/>
          </cell>
          <cell r="F1093" t="str">
            <v/>
          </cell>
          <cell r="G1093" t="str">
            <v/>
          </cell>
          <cell r="K1093" t="str">
            <v/>
          </cell>
          <cell r="L1093" t="str">
            <v/>
          </cell>
          <cell r="N1093">
            <v>0</v>
          </cell>
        </row>
        <row r="1094">
          <cell r="B1094">
            <v>205</v>
          </cell>
          <cell r="E1094" t="str">
            <v/>
          </cell>
          <cell r="F1094" t="str">
            <v/>
          </cell>
          <cell r="G1094" t="str">
            <v/>
          </cell>
          <cell r="K1094" t="str">
            <v/>
          </cell>
          <cell r="L1094" t="str">
            <v/>
          </cell>
          <cell r="N1094">
            <v>0</v>
          </cell>
        </row>
        <row r="1095">
          <cell r="B1095">
            <v>205</v>
          </cell>
          <cell r="E1095" t="str">
            <v/>
          </cell>
          <cell r="F1095" t="str">
            <v/>
          </cell>
          <cell r="G1095" t="str">
            <v/>
          </cell>
          <cell r="K1095" t="str">
            <v/>
          </cell>
          <cell r="L1095" t="str">
            <v/>
          </cell>
          <cell r="N1095">
            <v>0</v>
          </cell>
        </row>
        <row r="1096">
          <cell r="B1096">
            <v>205</v>
          </cell>
          <cell r="E1096" t="str">
            <v/>
          </cell>
          <cell r="F1096" t="str">
            <v/>
          </cell>
          <cell r="G1096" t="str">
            <v/>
          </cell>
          <cell r="K1096" t="str">
            <v/>
          </cell>
          <cell r="L1096" t="str">
            <v/>
          </cell>
          <cell r="N1096">
            <v>0</v>
          </cell>
        </row>
        <row r="1097">
          <cell r="B1097">
            <v>205</v>
          </cell>
          <cell r="E1097" t="str">
            <v/>
          </cell>
          <cell r="F1097" t="str">
            <v/>
          </cell>
          <cell r="G1097" t="str">
            <v/>
          </cell>
          <cell r="K1097" t="str">
            <v/>
          </cell>
          <cell r="L1097" t="str">
            <v/>
          </cell>
          <cell r="N1097">
            <v>0</v>
          </cell>
        </row>
        <row r="1098">
          <cell r="B1098">
            <v>205</v>
          </cell>
          <cell r="E1098" t="str">
            <v/>
          </cell>
          <cell r="F1098" t="str">
            <v/>
          </cell>
          <cell r="G1098" t="str">
            <v/>
          </cell>
          <cell r="K1098" t="str">
            <v/>
          </cell>
          <cell r="L1098" t="str">
            <v/>
          </cell>
          <cell r="N1098">
            <v>0</v>
          </cell>
        </row>
        <row r="1099">
          <cell r="B1099">
            <v>205</v>
          </cell>
          <cell r="E1099" t="str">
            <v/>
          </cell>
          <cell r="F1099" t="str">
            <v/>
          </cell>
          <cell r="G1099" t="str">
            <v/>
          </cell>
          <cell r="K1099" t="str">
            <v/>
          </cell>
          <cell r="L1099" t="str">
            <v/>
          </cell>
          <cell r="N1099">
            <v>0</v>
          </cell>
        </row>
        <row r="1100">
          <cell r="B1100">
            <v>205</v>
          </cell>
          <cell r="E1100" t="str">
            <v/>
          </cell>
          <cell r="F1100" t="str">
            <v/>
          </cell>
          <cell r="G1100" t="str">
            <v/>
          </cell>
          <cell r="K1100" t="str">
            <v/>
          </cell>
          <cell r="L1100" t="str">
            <v/>
          </cell>
          <cell r="N1100">
            <v>0</v>
          </cell>
        </row>
        <row r="1101">
          <cell r="B1101">
            <v>205</v>
          </cell>
          <cell r="E1101" t="str">
            <v/>
          </cell>
          <cell r="F1101" t="str">
            <v/>
          </cell>
          <cell r="G1101" t="str">
            <v/>
          </cell>
          <cell r="K1101" t="str">
            <v/>
          </cell>
          <cell r="L1101" t="str">
            <v/>
          </cell>
          <cell r="N1101">
            <v>0</v>
          </cell>
        </row>
        <row r="1102">
          <cell r="B1102">
            <v>205</v>
          </cell>
          <cell r="E1102" t="str">
            <v/>
          </cell>
          <cell r="F1102" t="str">
            <v/>
          </cell>
          <cell r="G1102" t="str">
            <v/>
          </cell>
          <cell r="K1102" t="str">
            <v/>
          </cell>
          <cell r="L1102" t="str">
            <v/>
          </cell>
          <cell r="N1102">
            <v>0</v>
          </cell>
        </row>
        <row r="1103">
          <cell r="B1103">
            <v>205</v>
          </cell>
          <cell r="E1103" t="str">
            <v/>
          </cell>
          <cell r="F1103" t="str">
            <v/>
          </cell>
          <cell r="G1103" t="str">
            <v/>
          </cell>
          <cell r="K1103" t="str">
            <v/>
          </cell>
          <cell r="L1103" t="str">
            <v/>
          </cell>
          <cell r="N1103">
            <v>0</v>
          </cell>
        </row>
        <row r="1104">
          <cell r="B1104">
            <v>205</v>
          </cell>
          <cell r="E1104" t="str">
            <v/>
          </cell>
          <cell r="F1104" t="str">
            <v/>
          </cell>
          <cell r="G1104" t="str">
            <v/>
          </cell>
          <cell r="K1104" t="str">
            <v/>
          </cell>
          <cell r="L1104" t="str">
            <v/>
          </cell>
          <cell r="N1104">
            <v>0</v>
          </cell>
        </row>
        <row r="1105">
          <cell r="B1105">
            <v>205</v>
          </cell>
          <cell r="E1105" t="str">
            <v/>
          </cell>
          <cell r="F1105" t="str">
            <v/>
          </cell>
          <cell r="G1105" t="str">
            <v/>
          </cell>
          <cell r="K1105" t="str">
            <v/>
          </cell>
          <cell r="L1105" t="str">
            <v/>
          </cell>
          <cell r="N1105">
            <v>0</v>
          </cell>
        </row>
        <row r="1106">
          <cell r="B1106">
            <v>205</v>
          </cell>
          <cell r="E1106" t="str">
            <v/>
          </cell>
          <cell r="F1106" t="str">
            <v/>
          </cell>
          <cell r="G1106" t="str">
            <v/>
          </cell>
          <cell r="K1106" t="str">
            <v/>
          </cell>
          <cell r="L1106" t="str">
            <v/>
          </cell>
          <cell r="N1106">
            <v>0</v>
          </cell>
        </row>
        <row r="1107">
          <cell r="B1107">
            <v>205</v>
          </cell>
          <cell r="E1107" t="str">
            <v/>
          </cell>
          <cell r="F1107" t="str">
            <v/>
          </cell>
          <cell r="G1107" t="str">
            <v/>
          </cell>
          <cell r="K1107" t="str">
            <v/>
          </cell>
          <cell r="L1107" t="str">
            <v/>
          </cell>
          <cell r="N1107">
            <v>0</v>
          </cell>
        </row>
        <row r="1108">
          <cell r="B1108">
            <v>205</v>
          </cell>
          <cell r="E1108" t="str">
            <v/>
          </cell>
          <cell r="F1108" t="str">
            <v/>
          </cell>
          <cell r="G1108" t="str">
            <v/>
          </cell>
          <cell r="K1108" t="str">
            <v/>
          </cell>
          <cell r="L1108" t="str">
            <v/>
          </cell>
          <cell r="N1108">
            <v>0</v>
          </cell>
        </row>
        <row r="1109">
          <cell r="B1109">
            <v>205</v>
          </cell>
          <cell r="E1109" t="str">
            <v/>
          </cell>
          <cell r="F1109" t="str">
            <v/>
          </cell>
          <cell r="G1109" t="str">
            <v/>
          </cell>
          <cell r="K1109" t="str">
            <v/>
          </cell>
          <cell r="L1109" t="str">
            <v/>
          </cell>
          <cell r="N1109">
            <v>0</v>
          </cell>
        </row>
        <row r="1110">
          <cell r="B1110">
            <v>205</v>
          </cell>
          <cell r="E1110" t="str">
            <v/>
          </cell>
          <cell r="F1110" t="str">
            <v/>
          </cell>
          <cell r="G1110" t="str">
            <v/>
          </cell>
          <cell r="K1110" t="str">
            <v/>
          </cell>
          <cell r="L1110" t="str">
            <v/>
          </cell>
          <cell r="N1110">
            <v>0</v>
          </cell>
        </row>
        <row r="1111">
          <cell r="B1111">
            <v>205</v>
          </cell>
          <cell r="E1111" t="str">
            <v/>
          </cell>
          <cell r="F1111" t="str">
            <v/>
          </cell>
          <cell r="G1111" t="str">
            <v/>
          </cell>
          <cell r="K1111" t="str">
            <v/>
          </cell>
          <cell r="L1111" t="str">
            <v/>
          </cell>
          <cell r="N1111">
            <v>0</v>
          </cell>
        </row>
        <row r="1112">
          <cell r="B1112">
            <v>205</v>
          </cell>
          <cell r="E1112" t="str">
            <v/>
          </cell>
          <cell r="F1112" t="str">
            <v/>
          </cell>
          <cell r="G1112" t="str">
            <v/>
          </cell>
          <cell r="K1112" t="str">
            <v/>
          </cell>
          <cell r="L1112" t="str">
            <v/>
          </cell>
          <cell r="N1112">
            <v>0</v>
          </cell>
        </row>
        <row r="1113">
          <cell r="B1113">
            <v>205</v>
          </cell>
          <cell r="E1113" t="str">
            <v/>
          </cell>
          <cell r="F1113" t="str">
            <v/>
          </cell>
          <cell r="G1113" t="str">
            <v/>
          </cell>
          <cell r="K1113" t="str">
            <v/>
          </cell>
          <cell r="L1113" t="str">
            <v/>
          </cell>
          <cell r="N1113">
            <v>0</v>
          </cell>
        </row>
        <row r="1114">
          <cell r="B1114">
            <v>205</v>
          </cell>
          <cell r="E1114" t="str">
            <v/>
          </cell>
          <cell r="F1114" t="str">
            <v/>
          </cell>
          <cell r="G1114" t="str">
            <v/>
          </cell>
          <cell r="K1114" t="str">
            <v/>
          </cell>
          <cell r="L1114" t="str">
            <v/>
          </cell>
          <cell r="N1114">
            <v>0</v>
          </cell>
        </row>
        <row r="1115">
          <cell r="B1115">
            <v>205</v>
          </cell>
          <cell r="E1115" t="str">
            <v/>
          </cell>
          <cell r="F1115" t="str">
            <v/>
          </cell>
          <cell r="G1115" t="str">
            <v/>
          </cell>
          <cell r="K1115" t="str">
            <v/>
          </cell>
          <cell r="L1115" t="str">
            <v/>
          </cell>
          <cell r="N1115">
            <v>0</v>
          </cell>
        </row>
        <row r="1116">
          <cell r="B1116">
            <v>205</v>
          </cell>
          <cell r="E1116" t="str">
            <v/>
          </cell>
          <cell r="F1116" t="str">
            <v/>
          </cell>
          <cell r="G1116" t="str">
            <v/>
          </cell>
          <cell r="K1116" t="str">
            <v/>
          </cell>
          <cell r="L1116" t="str">
            <v/>
          </cell>
          <cell r="N1116">
            <v>0</v>
          </cell>
        </row>
        <row r="1117">
          <cell r="B1117">
            <v>205</v>
          </cell>
          <cell r="E1117" t="str">
            <v/>
          </cell>
          <cell r="F1117" t="str">
            <v/>
          </cell>
          <cell r="G1117" t="str">
            <v/>
          </cell>
          <cell r="K1117" t="str">
            <v/>
          </cell>
          <cell r="L1117" t="str">
            <v/>
          </cell>
          <cell r="N1117">
            <v>0</v>
          </cell>
        </row>
        <row r="1118">
          <cell r="B1118">
            <v>205</v>
          </cell>
          <cell r="E1118" t="str">
            <v/>
          </cell>
          <cell r="F1118" t="str">
            <v/>
          </cell>
          <cell r="G1118" t="str">
            <v/>
          </cell>
          <cell r="K1118" t="str">
            <v/>
          </cell>
          <cell r="L1118" t="str">
            <v/>
          </cell>
          <cell r="N1118">
            <v>0</v>
          </cell>
        </row>
        <row r="1119">
          <cell r="B1119">
            <v>205</v>
          </cell>
          <cell r="E1119" t="str">
            <v/>
          </cell>
          <cell r="F1119" t="str">
            <v/>
          </cell>
          <cell r="G1119" t="str">
            <v/>
          </cell>
          <cell r="K1119" t="str">
            <v/>
          </cell>
          <cell r="L1119" t="str">
            <v/>
          </cell>
          <cell r="N1119">
            <v>0</v>
          </cell>
        </row>
        <row r="1120">
          <cell r="B1120">
            <v>205</v>
          </cell>
          <cell r="E1120" t="str">
            <v/>
          </cell>
          <cell r="F1120" t="str">
            <v/>
          </cell>
          <cell r="G1120" t="str">
            <v/>
          </cell>
          <cell r="K1120" t="str">
            <v/>
          </cell>
          <cell r="L1120" t="str">
            <v/>
          </cell>
          <cell r="N1120">
            <v>0</v>
          </cell>
        </row>
        <row r="1121">
          <cell r="B1121">
            <v>205</v>
          </cell>
          <cell r="E1121" t="str">
            <v/>
          </cell>
          <cell r="F1121" t="str">
            <v/>
          </cell>
          <cell r="G1121" t="str">
            <v/>
          </cell>
          <cell r="K1121" t="str">
            <v/>
          </cell>
          <cell r="L1121" t="str">
            <v/>
          </cell>
          <cell r="N1121">
            <v>0</v>
          </cell>
        </row>
        <row r="1122">
          <cell r="B1122">
            <v>205</v>
          </cell>
          <cell r="E1122" t="str">
            <v/>
          </cell>
          <cell r="F1122" t="str">
            <v/>
          </cell>
          <cell r="G1122" t="str">
            <v/>
          </cell>
          <cell r="K1122" t="str">
            <v/>
          </cell>
          <cell r="L1122" t="str">
            <v/>
          </cell>
          <cell r="N1122">
            <v>0</v>
          </cell>
        </row>
        <row r="1123">
          <cell r="B1123">
            <v>205</v>
          </cell>
          <cell r="E1123" t="str">
            <v/>
          </cell>
          <cell r="F1123" t="str">
            <v/>
          </cell>
          <cell r="G1123" t="str">
            <v/>
          </cell>
          <cell r="K1123" t="str">
            <v/>
          </cell>
          <cell r="L1123" t="str">
            <v/>
          </cell>
          <cell r="N1123">
            <v>0</v>
          </cell>
        </row>
        <row r="1124">
          <cell r="B1124">
            <v>205</v>
          </cell>
          <cell r="E1124" t="str">
            <v/>
          </cell>
          <cell r="F1124" t="str">
            <v/>
          </cell>
          <cell r="G1124" t="str">
            <v/>
          </cell>
          <cell r="K1124" t="str">
            <v/>
          </cell>
          <cell r="L1124" t="str">
            <v/>
          </cell>
          <cell r="N1124">
            <v>0</v>
          </cell>
        </row>
        <row r="1125">
          <cell r="B1125">
            <v>205</v>
          </cell>
          <cell r="E1125" t="str">
            <v/>
          </cell>
          <cell r="F1125" t="str">
            <v/>
          </cell>
          <cell r="G1125" t="str">
            <v/>
          </cell>
          <cell r="K1125" t="str">
            <v/>
          </cell>
          <cell r="L1125" t="str">
            <v/>
          </cell>
          <cell r="N1125">
            <v>0</v>
          </cell>
        </row>
        <row r="1126">
          <cell r="B1126">
            <v>205</v>
          </cell>
          <cell r="E1126" t="str">
            <v/>
          </cell>
          <cell r="F1126" t="str">
            <v/>
          </cell>
          <cell r="G1126" t="str">
            <v/>
          </cell>
          <cell r="K1126" t="str">
            <v/>
          </cell>
          <cell r="L1126" t="str">
            <v/>
          </cell>
          <cell r="N1126">
            <v>0</v>
          </cell>
        </row>
        <row r="1127">
          <cell r="B1127">
            <v>205</v>
          </cell>
          <cell r="E1127" t="str">
            <v/>
          </cell>
          <cell r="F1127" t="str">
            <v/>
          </cell>
          <cell r="G1127" t="str">
            <v/>
          </cell>
          <cell r="K1127" t="str">
            <v/>
          </cell>
          <cell r="L1127" t="str">
            <v/>
          </cell>
          <cell r="N1127">
            <v>0</v>
          </cell>
        </row>
        <row r="1128">
          <cell r="B1128">
            <v>205</v>
          </cell>
          <cell r="E1128" t="str">
            <v/>
          </cell>
          <cell r="F1128" t="str">
            <v/>
          </cell>
          <cell r="G1128" t="str">
            <v/>
          </cell>
          <cell r="K1128" t="str">
            <v/>
          </cell>
          <cell r="L1128" t="str">
            <v/>
          </cell>
          <cell r="N1128">
            <v>0</v>
          </cell>
        </row>
        <row r="1129">
          <cell r="B1129">
            <v>205</v>
          </cell>
          <cell r="E1129" t="str">
            <v/>
          </cell>
          <cell r="F1129" t="str">
            <v/>
          </cell>
          <cell r="G1129" t="str">
            <v/>
          </cell>
          <cell r="K1129" t="str">
            <v/>
          </cell>
          <cell r="L1129" t="str">
            <v/>
          </cell>
          <cell r="N1129">
            <v>0</v>
          </cell>
        </row>
        <row r="1130">
          <cell r="B1130">
            <v>205</v>
          </cell>
          <cell r="E1130" t="str">
            <v/>
          </cell>
          <cell r="F1130" t="str">
            <v/>
          </cell>
          <cell r="G1130" t="str">
            <v/>
          </cell>
          <cell r="K1130" t="str">
            <v/>
          </cell>
          <cell r="L1130" t="str">
            <v/>
          </cell>
          <cell r="N1130">
            <v>0</v>
          </cell>
        </row>
        <row r="1131">
          <cell r="B1131">
            <v>205</v>
          </cell>
          <cell r="E1131" t="str">
            <v/>
          </cell>
          <cell r="F1131" t="str">
            <v/>
          </cell>
          <cell r="G1131" t="str">
            <v/>
          </cell>
          <cell r="K1131" t="str">
            <v/>
          </cell>
          <cell r="L1131" t="str">
            <v/>
          </cell>
          <cell r="N1131">
            <v>0</v>
          </cell>
        </row>
        <row r="1132">
          <cell r="B1132">
            <v>205</v>
          </cell>
          <cell r="E1132" t="str">
            <v/>
          </cell>
          <cell r="F1132" t="str">
            <v/>
          </cell>
          <cell r="G1132" t="str">
            <v/>
          </cell>
          <cell r="K1132" t="str">
            <v/>
          </cell>
          <cell r="L1132" t="str">
            <v/>
          </cell>
          <cell r="N1132">
            <v>0</v>
          </cell>
        </row>
        <row r="1133">
          <cell r="B1133">
            <v>205</v>
          </cell>
          <cell r="E1133" t="str">
            <v/>
          </cell>
          <cell r="F1133" t="str">
            <v/>
          </cell>
          <cell r="G1133" t="str">
            <v/>
          </cell>
          <cell r="K1133" t="str">
            <v/>
          </cell>
          <cell r="L1133" t="str">
            <v/>
          </cell>
          <cell r="N1133">
            <v>0</v>
          </cell>
        </row>
        <row r="1134">
          <cell r="B1134">
            <v>205</v>
          </cell>
          <cell r="E1134" t="str">
            <v/>
          </cell>
          <cell r="F1134" t="str">
            <v/>
          </cell>
          <cell r="G1134" t="str">
            <v/>
          </cell>
          <cell r="K1134" t="str">
            <v/>
          </cell>
          <cell r="L1134" t="str">
            <v/>
          </cell>
          <cell r="N1134">
            <v>0</v>
          </cell>
        </row>
        <row r="1135">
          <cell r="B1135">
            <v>205</v>
          </cell>
          <cell r="E1135" t="str">
            <v/>
          </cell>
          <cell r="F1135" t="str">
            <v/>
          </cell>
          <cell r="G1135" t="str">
            <v/>
          </cell>
          <cell r="K1135" t="str">
            <v/>
          </cell>
          <cell r="L1135" t="str">
            <v/>
          </cell>
          <cell r="N1135">
            <v>0</v>
          </cell>
        </row>
        <row r="1136">
          <cell r="B1136">
            <v>205</v>
          </cell>
          <cell r="E1136" t="str">
            <v/>
          </cell>
          <cell r="F1136" t="str">
            <v/>
          </cell>
          <cell r="G1136" t="str">
            <v/>
          </cell>
          <cell r="K1136" t="str">
            <v/>
          </cell>
          <cell r="L1136" t="str">
            <v/>
          </cell>
          <cell r="N1136">
            <v>0</v>
          </cell>
        </row>
        <row r="1137">
          <cell r="B1137">
            <v>205</v>
          </cell>
          <cell r="E1137" t="str">
            <v/>
          </cell>
          <cell r="F1137" t="str">
            <v/>
          </cell>
          <cell r="G1137" t="str">
            <v/>
          </cell>
          <cell r="K1137" t="str">
            <v/>
          </cell>
          <cell r="L1137" t="str">
            <v/>
          </cell>
          <cell r="N1137">
            <v>0</v>
          </cell>
        </row>
        <row r="1138">
          <cell r="B1138">
            <v>205</v>
          </cell>
          <cell r="E1138" t="str">
            <v/>
          </cell>
          <cell r="F1138" t="str">
            <v/>
          </cell>
          <cell r="G1138" t="str">
            <v/>
          </cell>
          <cell r="K1138" t="str">
            <v/>
          </cell>
          <cell r="L1138" t="str">
            <v/>
          </cell>
          <cell r="N1138">
            <v>0</v>
          </cell>
        </row>
        <row r="1139">
          <cell r="B1139">
            <v>205</v>
          </cell>
          <cell r="E1139" t="str">
            <v/>
          </cell>
          <cell r="F1139" t="str">
            <v/>
          </cell>
          <cell r="G1139" t="str">
            <v/>
          </cell>
          <cell r="K1139" t="str">
            <v/>
          </cell>
          <cell r="L1139" t="str">
            <v/>
          </cell>
          <cell r="N1139">
            <v>0</v>
          </cell>
        </row>
        <row r="1140">
          <cell r="B1140">
            <v>205</v>
          </cell>
          <cell r="E1140" t="str">
            <v/>
          </cell>
          <cell r="F1140" t="str">
            <v/>
          </cell>
          <cell r="G1140" t="str">
            <v/>
          </cell>
          <cell r="K1140" t="str">
            <v/>
          </cell>
          <cell r="L1140" t="str">
            <v/>
          </cell>
          <cell r="N1140">
            <v>0</v>
          </cell>
        </row>
        <row r="1141">
          <cell r="B1141">
            <v>205</v>
          </cell>
          <cell r="E1141" t="str">
            <v/>
          </cell>
          <cell r="F1141" t="str">
            <v/>
          </cell>
          <cell r="G1141" t="str">
            <v/>
          </cell>
          <cell r="K1141" t="str">
            <v/>
          </cell>
          <cell r="L1141" t="str">
            <v/>
          </cell>
          <cell r="N1141">
            <v>0</v>
          </cell>
        </row>
        <row r="1142">
          <cell r="B1142">
            <v>205</v>
          </cell>
          <cell r="E1142" t="str">
            <v/>
          </cell>
          <cell r="F1142" t="str">
            <v/>
          </cell>
          <cell r="G1142" t="str">
            <v/>
          </cell>
          <cell r="K1142" t="str">
            <v/>
          </cell>
          <cell r="L1142" t="str">
            <v/>
          </cell>
          <cell r="N1142">
            <v>0</v>
          </cell>
        </row>
        <row r="1143">
          <cell r="B1143">
            <v>205</v>
          </cell>
          <cell r="E1143" t="str">
            <v/>
          </cell>
          <cell r="F1143" t="str">
            <v/>
          </cell>
          <cell r="G1143" t="str">
            <v/>
          </cell>
          <cell r="K1143" t="str">
            <v/>
          </cell>
          <cell r="L1143" t="str">
            <v/>
          </cell>
          <cell r="N1143">
            <v>0</v>
          </cell>
        </row>
        <row r="1144">
          <cell r="B1144">
            <v>205</v>
          </cell>
          <cell r="E1144" t="str">
            <v/>
          </cell>
          <cell r="F1144" t="str">
            <v/>
          </cell>
          <cell r="G1144" t="str">
            <v/>
          </cell>
          <cell r="K1144" t="str">
            <v/>
          </cell>
          <cell r="L1144" t="str">
            <v/>
          </cell>
          <cell r="N1144">
            <v>0</v>
          </cell>
        </row>
        <row r="1145">
          <cell r="B1145">
            <v>205</v>
          </cell>
          <cell r="E1145" t="str">
            <v/>
          </cell>
          <cell r="F1145" t="str">
            <v/>
          </cell>
          <cell r="G1145" t="str">
            <v/>
          </cell>
          <cell r="K1145" t="str">
            <v/>
          </cell>
          <cell r="L1145" t="str">
            <v/>
          </cell>
          <cell r="N1145">
            <v>0</v>
          </cell>
        </row>
        <row r="1146">
          <cell r="B1146">
            <v>205</v>
          </cell>
          <cell r="E1146" t="str">
            <v/>
          </cell>
          <cell r="F1146" t="str">
            <v/>
          </cell>
          <cell r="G1146" t="str">
            <v/>
          </cell>
          <cell r="K1146" t="str">
            <v/>
          </cell>
          <cell r="L1146" t="str">
            <v/>
          </cell>
          <cell r="N1146">
            <v>0</v>
          </cell>
        </row>
        <row r="1147">
          <cell r="B1147">
            <v>205</v>
          </cell>
          <cell r="E1147" t="str">
            <v/>
          </cell>
          <cell r="F1147" t="str">
            <v/>
          </cell>
          <cell r="G1147" t="str">
            <v/>
          </cell>
          <cell r="K1147" t="str">
            <v/>
          </cell>
          <cell r="L1147" t="str">
            <v/>
          </cell>
          <cell r="N1147">
            <v>0</v>
          </cell>
        </row>
        <row r="1148">
          <cell r="B1148">
            <v>205</v>
          </cell>
          <cell r="E1148" t="str">
            <v/>
          </cell>
          <cell r="F1148" t="str">
            <v/>
          </cell>
          <cell r="G1148" t="str">
            <v/>
          </cell>
          <cell r="K1148" t="str">
            <v/>
          </cell>
          <cell r="L1148" t="str">
            <v/>
          </cell>
          <cell r="N1148">
            <v>0</v>
          </cell>
        </row>
        <row r="1149">
          <cell r="B1149">
            <v>205</v>
          </cell>
          <cell r="E1149" t="str">
            <v/>
          </cell>
          <cell r="F1149" t="str">
            <v/>
          </cell>
          <cell r="G1149" t="str">
            <v/>
          </cell>
          <cell r="K1149" t="str">
            <v/>
          </cell>
          <cell r="L1149" t="str">
            <v/>
          </cell>
          <cell r="N1149">
            <v>0</v>
          </cell>
        </row>
        <row r="1150">
          <cell r="B1150">
            <v>205</v>
          </cell>
          <cell r="E1150" t="str">
            <v/>
          </cell>
          <cell r="F1150" t="str">
            <v/>
          </cell>
          <cell r="G1150" t="str">
            <v/>
          </cell>
          <cell r="K1150" t="str">
            <v/>
          </cell>
          <cell r="L1150" t="str">
            <v/>
          </cell>
          <cell r="N1150">
            <v>0</v>
          </cell>
        </row>
        <row r="1151">
          <cell r="B1151">
            <v>205</v>
          </cell>
          <cell r="E1151" t="str">
            <v/>
          </cell>
          <cell r="F1151" t="str">
            <v/>
          </cell>
          <cell r="G1151" t="str">
            <v/>
          </cell>
          <cell r="K1151" t="str">
            <v/>
          </cell>
          <cell r="L1151" t="str">
            <v/>
          </cell>
          <cell r="N1151">
            <v>0</v>
          </cell>
        </row>
        <row r="1152">
          <cell r="B1152">
            <v>205</v>
          </cell>
          <cell r="E1152" t="str">
            <v/>
          </cell>
          <cell r="F1152" t="str">
            <v/>
          </cell>
          <cell r="G1152" t="str">
            <v/>
          </cell>
          <cell r="K1152" t="str">
            <v/>
          </cell>
          <cell r="L1152" t="str">
            <v/>
          </cell>
          <cell r="N1152">
            <v>0</v>
          </cell>
        </row>
        <row r="1153">
          <cell r="B1153">
            <v>205</v>
          </cell>
          <cell r="E1153" t="str">
            <v/>
          </cell>
          <cell r="F1153" t="str">
            <v/>
          </cell>
          <cell r="G1153" t="str">
            <v/>
          </cell>
          <cell r="K1153" t="str">
            <v/>
          </cell>
          <cell r="L1153" t="str">
            <v/>
          </cell>
          <cell r="N1153">
            <v>0</v>
          </cell>
        </row>
        <row r="1154">
          <cell r="B1154">
            <v>205</v>
          </cell>
          <cell r="E1154" t="str">
            <v/>
          </cell>
          <cell r="F1154" t="str">
            <v/>
          </cell>
          <cell r="G1154" t="str">
            <v/>
          </cell>
          <cell r="K1154" t="str">
            <v/>
          </cell>
          <cell r="L1154" t="str">
            <v/>
          </cell>
          <cell r="N1154">
            <v>0</v>
          </cell>
        </row>
        <row r="1155">
          <cell r="B1155">
            <v>205</v>
          </cell>
          <cell r="E1155" t="str">
            <v/>
          </cell>
          <cell r="F1155" t="str">
            <v/>
          </cell>
          <cell r="G1155" t="str">
            <v/>
          </cell>
          <cell r="K1155" t="str">
            <v/>
          </cell>
          <cell r="L1155" t="str">
            <v/>
          </cell>
          <cell r="N1155">
            <v>0</v>
          </cell>
        </row>
        <row r="1156">
          <cell r="B1156">
            <v>205</v>
          </cell>
          <cell r="E1156" t="str">
            <v/>
          </cell>
          <cell r="F1156" t="str">
            <v/>
          </cell>
          <cell r="G1156" t="str">
            <v/>
          </cell>
          <cell r="K1156" t="str">
            <v/>
          </cell>
          <cell r="L1156" t="str">
            <v/>
          </cell>
          <cell r="N1156">
            <v>0</v>
          </cell>
        </row>
        <row r="1157">
          <cell r="B1157">
            <v>205</v>
          </cell>
          <cell r="E1157" t="str">
            <v/>
          </cell>
          <cell r="F1157" t="str">
            <v/>
          </cell>
          <cell r="G1157" t="str">
            <v/>
          </cell>
          <cell r="K1157" t="str">
            <v/>
          </cell>
          <cell r="L1157" t="str">
            <v/>
          </cell>
          <cell r="N1157">
            <v>0</v>
          </cell>
        </row>
        <row r="1158">
          <cell r="B1158">
            <v>205</v>
          </cell>
          <cell r="E1158" t="str">
            <v/>
          </cell>
          <cell r="F1158" t="str">
            <v/>
          </cell>
          <cell r="G1158" t="str">
            <v/>
          </cell>
          <cell r="K1158" t="str">
            <v/>
          </cell>
          <cell r="L1158" t="str">
            <v/>
          </cell>
          <cell r="N1158">
            <v>0</v>
          </cell>
        </row>
        <row r="1159">
          <cell r="B1159">
            <v>205</v>
          </cell>
          <cell r="E1159" t="str">
            <v/>
          </cell>
          <cell r="F1159" t="str">
            <v/>
          </cell>
          <cell r="G1159" t="str">
            <v/>
          </cell>
          <cell r="K1159" t="str">
            <v/>
          </cell>
          <cell r="L1159" t="str">
            <v/>
          </cell>
          <cell r="N1159">
            <v>0</v>
          </cell>
        </row>
        <row r="1160">
          <cell r="B1160">
            <v>205</v>
          </cell>
          <cell r="E1160" t="str">
            <v/>
          </cell>
          <cell r="F1160" t="str">
            <v/>
          </cell>
          <cell r="G1160" t="str">
            <v/>
          </cell>
          <cell r="K1160" t="str">
            <v/>
          </cell>
          <cell r="L1160" t="str">
            <v/>
          </cell>
          <cell r="N1160">
            <v>0</v>
          </cell>
        </row>
        <row r="1161">
          <cell r="B1161">
            <v>205</v>
          </cell>
          <cell r="E1161" t="str">
            <v/>
          </cell>
          <cell r="F1161" t="str">
            <v/>
          </cell>
          <cell r="G1161" t="str">
            <v/>
          </cell>
          <cell r="K1161" t="str">
            <v/>
          </cell>
          <cell r="L1161" t="str">
            <v/>
          </cell>
          <cell r="N1161">
            <v>0</v>
          </cell>
        </row>
        <row r="1162">
          <cell r="B1162">
            <v>205</v>
          </cell>
          <cell r="E1162" t="str">
            <v/>
          </cell>
          <cell r="F1162" t="str">
            <v/>
          </cell>
          <cell r="G1162" t="str">
            <v/>
          </cell>
          <cell r="K1162" t="str">
            <v/>
          </cell>
          <cell r="L1162" t="str">
            <v/>
          </cell>
          <cell r="N1162">
            <v>0</v>
          </cell>
        </row>
        <row r="1163">
          <cell r="B1163">
            <v>205</v>
          </cell>
          <cell r="E1163" t="str">
            <v/>
          </cell>
          <cell r="F1163" t="str">
            <v/>
          </cell>
          <cell r="G1163" t="str">
            <v/>
          </cell>
          <cell r="K1163" t="str">
            <v/>
          </cell>
          <cell r="L1163" t="str">
            <v/>
          </cell>
          <cell r="N1163">
            <v>0</v>
          </cell>
        </row>
        <row r="1164">
          <cell r="B1164">
            <v>205</v>
          </cell>
          <cell r="E1164" t="str">
            <v/>
          </cell>
          <cell r="F1164" t="str">
            <v/>
          </cell>
          <cell r="G1164" t="str">
            <v/>
          </cell>
          <cell r="K1164" t="str">
            <v/>
          </cell>
          <cell r="L1164" t="str">
            <v/>
          </cell>
          <cell r="N1164">
            <v>0</v>
          </cell>
        </row>
        <row r="1165">
          <cell r="B1165">
            <v>205</v>
          </cell>
          <cell r="E1165" t="str">
            <v/>
          </cell>
          <cell r="F1165" t="str">
            <v/>
          </cell>
          <cell r="G1165" t="str">
            <v/>
          </cell>
          <cell r="K1165" t="str">
            <v/>
          </cell>
          <cell r="L1165" t="str">
            <v/>
          </cell>
          <cell r="N1165">
            <v>0</v>
          </cell>
        </row>
        <row r="1166">
          <cell r="B1166">
            <v>205</v>
          </cell>
          <cell r="E1166" t="str">
            <v/>
          </cell>
          <cell r="F1166" t="str">
            <v/>
          </cell>
          <cell r="G1166" t="str">
            <v/>
          </cell>
          <cell r="K1166" t="str">
            <v/>
          </cell>
          <cell r="L1166" t="str">
            <v/>
          </cell>
          <cell r="N1166">
            <v>0</v>
          </cell>
        </row>
        <row r="1167">
          <cell r="B1167">
            <v>205</v>
          </cell>
          <cell r="E1167" t="str">
            <v/>
          </cell>
          <cell r="F1167" t="str">
            <v/>
          </cell>
          <cell r="G1167" t="str">
            <v/>
          </cell>
          <cell r="K1167" t="str">
            <v/>
          </cell>
          <cell r="L1167" t="str">
            <v/>
          </cell>
          <cell r="N1167">
            <v>0</v>
          </cell>
        </row>
        <row r="1168">
          <cell r="B1168">
            <v>205</v>
          </cell>
          <cell r="E1168" t="str">
            <v/>
          </cell>
          <cell r="F1168" t="str">
            <v/>
          </cell>
          <cell r="G1168" t="str">
            <v/>
          </cell>
          <cell r="K1168" t="str">
            <v/>
          </cell>
          <cell r="L1168" t="str">
            <v/>
          </cell>
          <cell r="N1168">
            <v>0</v>
          </cell>
        </row>
        <row r="1169">
          <cell r="B1169">
            <v>205</v>
          </cell>
          <cell r="E1169" t="str">
            <v/>
          </cell>
          <cell r="F1169" t="str">
            <v/>
          </cell>
          <cell r="G1169" t="str">
            <v/>
          </cell>
          <cell r="K1169" t="str">
            <v/>
          </cell>
          <cell r="L1169" t="str">
            <v/>
          </cell>
          <cell r="N1169">
            <v>0</v>
          </cell>
        </row>
        <row r="1170">
          <cell r="B1170">
            <v>205</v>
          </cell>
          <cell r="E1170" t="str">
            <v/>
          </cell>
          <cell r="F1170" t="str">
            <v/>
          </cell>
          <cell r="G1170" t="str">
            <v/>
          </cell>
          <cell r="K1170" t="str">
            <v/>
          </cell>
          <cell r="L1170" t="str">
            <v/>
          </cell>
          <cell r="N1170">
            <v>0</v>
          </cell>
        </row>
        <row r="1171">
          <cell r="B1171">
            <v>205</v>
          </cell>
          <cell r="E1171" t="str">
            <v/>
          </cell>
          <cell r="F1171" t="str">
            <v/>
          </cell>
          <cell r="G1171" t="str">
            <v/>
          </cell>
          <cell r="K1171" t="str">
            <v/>
          </cell>
          <cell r="L1171" t="str">
            <v/>
          </cell>
          <cell r="N1171">
            <v>0</v>
          </cell>
        </row>
        <row r="1172">
          <cell r="B1172">
            <v>205</v>
          </cell>
          <cell r="E1172" t="str">
            <v/>
          </cell>
          <cell r="F1172" t="str">
            <v/>
          </cell>
          <cell r="G1172" t="str">
            <v/>
          </cell>
          <cell r="K1172" t="str">
            <v/>
          </cell>
          <cell r="L1172" t="str">
            <v/>
          </cell>
          <cell r="N1172">
            <v>0</v>
          </cell>
        </row>
        <row r="1173">
          <cell r="B1173">
            <v>205</v>
          </cell>
          <cell r="E1173" t="str">
            <v/>
          </cell>
          <cell r="F1173" t="str">
            <v/>
          </cell>
          <cell r="G1173" t="str">
            <v/>
          </cell>
          <cell r="K1173" t="str">
            <v/>
          </cell>
          <cell r="L1173" t="str">
            <v/>
          </cell>
          <cell r="N1173">
            <v>0</v>
          </cell>
        </row>
        <row r="1174">
          <cell r="B1174">
            <v>205</v>
          </cell>
          <cell r="E1174" t="str">
            <v/>
          </cell>
          <cell r="F1174" t="str">
            <v/>
          </cell>
          <cell r="G1174" t="str">
            <v/>
          </cell>
          <cell r="K1174" t="str">
            <v/>
          </cell>
          <cell r="L1174" t="str">
            <v/>
          </cell>
          <cell r="N1174">
            <v>0</v>
          </cell>
        </row>
        <row r="1175">
          <cell r="B1175">
            <v>205</v>
          </cell>
          <cell r="E1175" t="str">
            <v/>
          </cell>
          <cell r="F1175" t="str">
            <v/>
          </cell>
          <cell r="G1175" t="str">
            <v/>
          </cell>
          <cell r="K1175" t="str">
            <v/>
          </cell>
          <cell r="L1175" t="str">
            <v/>
          </cell>
          <cell r="N1175">
            <v>0</v>
          </cell>
        </row>
        <row r="1176">
          <cell r="B1176">
            <v>205</v>
          </cell>
          <cell r="E1176" t="str">
            <v/>
          </cell>
          <cell r="F1176" t="str">
            <v/>
          </cell>
          <cell r="G1176" t="str">
            <v/>
          </cell>
          <cell r="K1176" t="str">
            <v/>
          </cell>
          <cell r="L1176" t="str">
            <v/>
          </cell>
          <cell r="N1176">
            <v>0</v>
          </cell>
        </row>
        <row r="1177">
          <cell r="B1177">
            <v>205</v>
          </cell>
          <cell r="E1177" t="str">
            <v/>
          </cell>
          <cell r="F1177" t="str">
            <v/>
          </cell>
          <cell r="G1177" t="str">
            <v/>
          </cell>
          <cell r="K1177" t="str">
            <v/>
          </cell>
          <cell r="L1177" t="str">
            <v/>
          </cell>
          <cell r="N1177">
            <v>0</v>
          </cell>
        </row>
        <row r="1178">
          <cell r="B1178">
            <v>205</v>
          </cell>
          <cell r="E1178" t="str">
            <v/>
          </cell>
          <cell r="F1178" t="str">
            <v/>
          </cell>
          <cell r="G1178" t="str">
            <v/>
          </cell>
          <cell r="K1178" t="str">
            <v/>
          </cell>
          <cell r="L1178" t="str">
            <v/>
          </cell>
          <cell r="N1178">
            <v>0</v>
          </cell>
        </row>
        <row r="1179">
          <cell r="B1179">
            <v>205</v>
          </cell>
          <cell r="E1179" t="str">
            <v/>
          </cell>
          <cell r="F1179" t="str">
            <v/>
          </cell>
          <cell r="G1179" t="str">
            <v/>
          </cell>
          <cell r="K1179" t="str">
            <v/>
          </cell>
          <cell r="L1179" t="str">
            <v/>
          </cell>
          <cell r="N1179">
            <v>0</v>
          </cell>
        </row>
        <row r="1180">
          <cell r="B1180">
            <v>205</v>
          </cell>
          <cell r="E1180" t="str">
            <v/>
          </cell>
          <cell r="F1180" t="str">
            <v/>
          </cell>
          <cell r="G1180" t="str">
            <v/>
          </cell>
          <cell r="K1180" t="str">
            <v/>
          </cell>
          <cell r="L1180" t="str">
            <v/>
          </cell>
          <cell r="N1180">
            <v>0</v>
          </cell>
        </row>
        <row r="1181">
          <cell r="B1181">
            <v>205</v>
          </cell>
          <cell r="E1181" t="str">
            <v/>
          </cell>
          <cell r="F1181" t="str">
            <v/>
          </cell>
          <cell r="G1181" t="str">
            <v/>
          </cell>
          <cell r="K1181" t="str">
            <v/>
          </cell>
          <cell r="L1181" t="str">
            <v/>
          </cell>
          <cell r="N1181">
            <v>0</v>
          </cell>
        </row>
        <row r="1182">
          <cell r="B1182">
            <v>205</v>
          </cell>
          <cell r="E1182" t="str">
            <v/>
          </cell>
          <cell r="F1182" t="str">
            <v/>
          </cell>
          <cell r="G1182" t="str">
            <v/>
          </cell>
          <cell r="K1182" t="str">
            <v/>
          </cell>
          <cell r="L1182" t="str">
            <v/>
          </cell>
          <cell r="N1182">
            <v>0</v>
          </cell>
        </row>
        <row r="1183">
          <cell r="B1183">
            <v>205</v>
          </cell>
          <cell r="E1183" t="str">
            <v/>
          </cell>
          <cell r="F1183" t="str">
            <v/>
          </cell>
          <cell r="G1183" t="str">
            <v/>
          </cell>
          <cell r="K1183" t="str">
            <v/>
          </cell>
          <cell r="L1183" t="str">
            <v/>
          </cell>
          <cell r="N1183">
            <v>0</v>
          </cell>
        </row>
        <row r="1184">
          <cell r="B1184">
            <v>205</v>
          </cell>
          <cell r="E1184" t="str">
            <v/>
          </cell>
          <cell r="F1184" t="str">
            <v/>
          </cell>
          <cell r="G1184" t="str">
            <v/>
          </cell>
          <cell r="K1184" t="str">
            <v/>
          </cell>
          <cell r="L1184" t="str">
            <v/>
          </cell>
          <cell r="N1184">
            <v>0</v>
          </cell>
        </row>
        <row r="1185">
          <cell r="B1185">
            <v>205</v>
          </cell>
          <cell r="E1185" t="str">
            <v/>
          </cell>
          <cell r="F1185" t="str">
            <v/>
          </cell>
          <cell r="G1185" t="str">
            <v/>
          </cell>
          <cell r="K1185" t="str">
            <v/>
          </cell>
          <cell r="L1185" t="str">
            <v/>
          </cell>
          <cell r="N1185">
            <v>0</v>
          </cell>
        </row>
        <row r="1186">
          <cell r="B1186">
            <v>205</v>
          </cell>
          <cell r="E1186" t="str">
            <v/>
          </cell>
          <cell r="F1186" t="str">
            <v/>
          </cell>
          <cell r="G1186" t="str">
            <v/>
          </cell>
          <cell r="K1186" t="str">
            <v/>
          </cell>
          <cell r="L1186" t="str">
            <v/>
          </cell>
          <cell r="N1186">
            <v>0</v>
          </cell>
        </row>
        <row r="1187">
          <cell r="B1187">
            <v>205</v>
          </cell>
          <cell r="E1187" t="str">
            <v/>
          </cell>
          <cell r="F1187" t="str">
            <v/>
          </cell>
          <cell r="G1187" t="str">
            <v/>
          </cell>
          <cell r="K1187" t="str">
            <v/>
          </cell>
          <cell r="L1187" t="str">
            <v/>
          </cell>
          <cell r="N1187">
            <v>0</v>
          </cell>
        </row>
        <row r="1188">
          <cell r="B1188">
            <v>205</v>
          </cell>
          <cell r="E1188" t="str">
            <v/>
          </cell>
          <cell r="F1188" t="str">
            <v/>
          </cell>
          <cell r="G1188" t="str">
            <v/>
          </cell>
          <cell r="K1188" t="str">
            <v/>
          </cell>
          <cell r="L1188" t="str">
            <v/>
          </cell>
          <cell r="N1188">
            <v>0</v>
          </cell>
        </row>
        <row r="1189">
          <cell r="B1189">
            <v>205</v>
          </cell>
          <cell r="E1189" t="str">
            <v/>
          </cell>
          <cell r="F1189" t="str">
            <v/>
          </cell>
          <cell r="G1189" t="str">
            <v/>
          </cell>
          <cell r="K1189" t="str">
            <v/>
          </cell>
          <cell r="L1189" t="str">
            <v/>
          </cell>
          <cell r="N1189">
            <v>0</v>
          </cell>
        </row>
        <row r="1190">
          <cell r="B1190">
            <v>205</v>
          </cell>
          <cell r="E1190" t="str">
            <v/>
          </cell>
          <cell r="F1190" t="str">
            <v/>
          </cell>
          <cell r="G1190" t="str">
            <v/>
          </cell>
          <cell r="K1190" t="str">
            <v/>
          </cell>
          <cell r="L1190" t="str">
            <v/>
          </cell>
          <cell r="N1190">
            <v>0</v>
          </cell>
        </row>
        <row r="1191">
          <cell r="B1191">
            <v>205</v>
          </cell>
          <cell r="E1191" t="str">
            <v/>
          </cell>
          <cell r="F1191" t="str">
            <v/>
          </cell>
          <cell r="G1191" t="str">
            <v/>
          </cell>
          <cell r="K1191" t="str">
            <v/>
          </cell>
          <cell r="L1191" t="str">
            <v/>
          </cell>
          <cell r="N1191">
            <v>0</v>
          </cell>
        </row>
        <row r="1192">
          <cell r="B1192">
            <v>205</v>
          </cell>
          <cell r="E1192" t="str">
            <v/>
          </cell>
          <cell r="F1192" t="str">
            <v/>
          </cell>
          <cell r="G1192" t="str">
            <v/>
          </cell>
          <cell r="K1192" t="str">
            <v/>
          </cell>
          <cell r="L1192" t="str">
            <v/>
          </cell>
          <cell r="N1192">
            <v>0</v>
          </cell>
        </row>
        <row r="1193">
          <cell r="B1193">
            <v>205</v>
          </cell>
          <cell r="E1193" t="str">
            <v/>
          </cell>
          <cell r="F1193" t="str">
            <v/>
          </cell>
          <cell r="G1193" t="str">
            <v/>
          </cell>
          <cell r="K1193" t="str">
            <v/>
          </cell>
          <cell r="L1193" t="str">
            <v/>
          </cell>
          <cell r="N1193">
            <v>0</v>
          </cell>
        </row>
        <row r="1194">
          <cell r="B1194">
            <v>205</v>
          </cell>
          <cell r="E1194" t="str">
            <v/>
          </cell>
          <cell r="F1194" t="str">
            <v/>
          </cell>
          <cell r="G1194" t="str">
            <v/>
          </cell>
          <cell r="K1194" t="str">
            <v/>
          </cell>
          <cell r="L1194" t="str">
            <v/>
          </cell>
          <cell r="N1194">
            <v>0</v>
          </cell>
        </row>
        <row r="1195">
          <cell r="B1195">
            <v>205</v>
          </cell>
          <cell r="E1195" t="str">
            <v/>
          </cell>
          <cell r="F1195" t="str">
            <v/>
          </cell>
          <cell r="G1195" t="str">
            <v/>
          </cell>
          <cell r="K1195" t="str">
            <v/>
          </cell>
          <cell r="L1195" t="str">
            <v/>
          </cell>
          <cell r="N1195">
            <v>0</v>
          </cell>
        </row>
        <row r="1196">
          <cell r="B1196">
            <v>205</v>
          </cell>
          <cell r="E1196" t="str">
            <v/>
          </cell>
          <cell r="F1196" t="str">
            <v/>
          </cell>
          <cell r="G1196" t="str">
            <v/>
          </cell>
          <cell r="K1196" t="str">
            <v/>
          </cell>
          <cell r="L1196" t="str">
            <v/>
          </cell>
          <cell r="N1196">
            <v>0</v>
          </cell>
        </row>
        <row r="1197">
          <cell r="B1197">
            <v>205</v>
          </cell>
          <cell r="E1197" t="str">
            <v/>
          </cell>
          <cell r="F1197" t="str">
            <v/>
          </cell>
          <cell r="G1197" t="str">
            <v/>
          </cell>
          <cell r="K1197" t="str">
            <v/>
          </cell>
          <cell r="L1197" t="str">
            <v/>
          </cell>
          <cell r="N1197">
            <v>0</v>
          </cell>
        </row>
        <row r="1198">
          <cell r="B1198">
            <v>205</v>
          </cell>
          <cell r="E1198" t="str">
            <v/>
          </cell>
          <cell r="F1198" t="str">
            <v/>
          </cell>
          <cell r="G1198" t="str">
            <v/>
          </cell>
          <cell r="K1198" t="str">
            <v/>
          </cell>
          <cell r="L1198" t="str">
            <v/>
          </cell>
          <cell r="N1198">
            <v>0</v>
          </cell>
        </row>
        <row r="1199">
          <cell r="B1199">
            <v>205</v>
          </cell>
          <cell r="E1199" t="str">
            <v/>
          </cell>
          <cell r="F1199" t="str">
            <v/>
          </cell>
          <cell r="G1199" t="str">
            <v/>
          </cell>
          <cell r="K1199" t="str">
            <v/>
          </cell>
          <cell r="L1199" t="str">
            <v/>
          </cell>
          <cell r="N1199">
            <v>0</v>
          </cell>
        </row>
        <row r="1200">
          <cell r="B1200">
            <v>205</v>
          </cell>
          <cell r="E1200" t="str">
            <v/>
          </cell>
          <cell r="F1200" t="str">
            <v/>
          </cell>
          <cell r="G1200" t="str">
            <v/>
          </cell>
          <cell r="K1200" t="str">
            <v/>
          </cell>
          <cell r="L1200" t="str">
            <v/>
          </cell>
          <cell r="N1200">
            <v>0</v>
          </cell>
        </row>
        <row r="1201">
          <cell r="B1201">
            <v>205</v>
          </cell>
          <cell r="E1201" t="str">
            <v/>
          </cell>
          <cell r="F1201" t="str">
            <v/>
          </cell>
          <cell r="G1201" t="str">
            <v/>
          </cell>
          <cell r="K1201" t="str">
            <v/>
          </cell>
          <cell r="L1201" t="str">
            <v/>
          </cell>
          <cell r="N1201">
            <v>0</v>
          </cell>
        </row>
        <row r="1202">
          <cell r="B1202">
            <v>205</v>
          </cell>
          <cell r="E1202" t="str">
            <v/>
          </cell>
          <cell r="F1202" t="str">
            <v/>
          </cell>
          <cell r="G1202" t="str">
            <v/>
          </cell>
          <cell r="K1202" t="str">
            <v/>
          </cell>
          <cell r="L1202" t="str">
            <v/>
          </cell>
          <cell r="N1202">
            <v>0</v>
          </cell>
        </row>
        <row r="1203">
          <cell r="B1203">
            <v>205</v>
          </cell>
          <cell r="E1203" t="str">
            <v/>
          </cell>
          <cell r="F1203" t="str">
            <v/>
          </cell>
          <cell r="G1203" t="str">
            <v/>
          </cell>
          <cell r="K1203" t="str">
            <v/>
          </cell>
          <cell r="L1203" t="str">
            <v/>
          </cell>
          <cell r="N1203">
            <v>0</v>
          </cell>
        </row>
        <row r="1204">
          <cell r="B1204">
            <v>205</v>
          </cell>
          <cell r="E1204" t="str">
            <v/>
          </cell>
          <cell r="F1204" t="str">
            <v/>
          </cell>
          <cell r="G1204" t="str">
            <v/>
          </cell>
          <cell r="K1204" t="str">
            <v/>
          </cell>
          <cell r="L1204" t="str">
            <v/>
          </cell>
          <cell r="N1204">
            <v>0</v>
          </cell>
        </row>
        <row r="1205">
          <cell r="B1205">
            <v>205</v>
          </cell>
          <cell r="E1205" t="str">
            <v/>
          </cell>
          <cell r="F1205" t="str">
            <v/>
          </cell>
          <cell r="G1205" t="str">
            <v/>
          </cell>
          <cell r="K1205" t="str">
            <v/>
          </cell>
          <cell r="L1205" t="str">
            <v/>
          </cell>
          <cell r="N1205">
            <v>0</v>
          </cell>
        </row>
        <row r="1206">
          <cell r="B1206">
            <v>205</v>
          </cell>
          <cell r="E1206" t="str">
            <v/>
          </cell>
          <cell r="F1206" t="str">
            <v/>
          </cell>
          <cell r="G1206" t="str">
            <v/>
          </cell>
          <cell r="K1206" t="str">
            <v/>
          </cell>
          <cell r="L1206" t="str">
            <v/>
          </cell>
          <cell r="N1206">
            <v>0</v>
          </cell>
        </row>
        <row r="1207">
          <cell r="B1207">
            <v>205</v>
          </cell>
          <cell r="E1207" t="str">
            <v/>
          </cell>
          <cell r="F1207" t="str">
            <v/>
          </cell>
          <cell r="G1207" t="str">
            <v/>
          </cell>
          <cell r="K1207" t="str">
            <v/>
          </cell>
          <cell r="L1207" t="str">
            <v/>
          </cell>
          <cell r="N1207">
            <v>0</v>
          </cell>
        </row>
        <row r="1208">
          <cell r="B1208">
            <v>205</v>
          </cell>
          <cell r="E1208" t="str">
            <v/>
          </cell>
          <cell r="F1208" t="str">
            <v/>
          </cell>
          <cell r="G1208" t="str">
            <v/>
          </cell>
          <cell r="K1208" t="str">
            <v/>
          </cell>
          <cell r="L1208" t="str">
            <v/>
          </cell>
          <cell r="N1208">
            <v>0</v>
          </cell>
        </row>
        <row r="1209">
          <cell r="B1209">
            <v>205</v>
          </cell>
          <cell r="E1209" t="str">
            <v/>
          </cell>
          <cell r="F1209" t="str">
            <v/>
          </cell>
          <cell r="G1209" t="str">
            <v/>
          </cell>
          <cell r="K1209" t="str">
            <v/>
          </cell>
          <cell r="L1209" t="str">
            <v/>
          </cell>
          <cell r="N1209">
            <v>0</v>
          </cell>
        </row>
        <row r="1210">
          <cell r="B1210">
            <v>205</v>
          </cell>
          <cell r="E1210" t="str">
            <v/>
          </cell>
          <cell r="F1210" t="str">
            <v/>
          </cell>
          <cell r="G1210" t="str">
            <v/>
          </cell>
          <cell r="K1210" t="str">
            <v/>
          </cell>
          <cell r="L1210" t="str">
            <v/>
          </cell>
          <cell r="N1210">
            <v>0</v>
          </cell>
        </row>
        <row r="1211">
          <cell r="B1211">
            <v>205</v>
          </cell>
          <cell r="E1211" t="str">
            <v/>
          </cell>
          <cell r="F1211" t="str">
            <v/>
          </cell>
          <cell r="G1211" t="str">
            <v/>
          </cell>
          <cell r="K1211" t="str">
            <v/>
          </cell>
          <cell r="L1211" t="str">
            <v/>
          </cell>
          <cell r="N1211">
            <v>0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598B-2DE4-4DED-8A1C-631E135B329C}">
  <dimension ref="A1:Z1051"/>
  <sheetViews>
    <sheetView tabSelected="1" topLeftCell="A3" workbookViewId="0">
      <selection activeCell="A3" sqref="A3"/>
    </sheetView>
  </sheetViews>
  <sheetFormatPr defaultColWidth="12.44140625" defaultRowHeight="15" customHeight="1"/>
  <cols>
    <col min="1" max="1" width="13.5546875" customWidth="1"/>
    <col min="2" max="2" width="28.77734375" customWidth="1"/>
    <col min="3" max="3" width="14.88671875" customWidth="1"/>
    <col min="4" max="4" width="6.6640625" customWidth="1"/>
    <col min="5" max="5" width="11" customWidth="1"/>
    <col min="6" max="6" width="13.5546875" customWidth="1"/>
    <col min="7" max="7" width="16.109375" customWidth="1"/>
    <col min="8" max="8" width="16.88671875" customWidth="1"/>
    <col min="9" max="9" width="6.5546875" customWidth="1"/>
    <col min="10" max="16" width="10" customWidth="1"/>
    <col min="17" max="26" width="8.88671875" customWidth="1"/>
  </cols>
  <sheetData>
    <row r="1" spans="1:26" ht="19.5" customHeight="1">
      <c r="A1" s="1" t="str">
        <f>[1]ThongtinDN!B5&amp;" "&amp;[1]ThongtinDN!C5</f>
        <v>Tên đơn vị:  CÔNG TY TNHH JOY WORLD ENTERTAINMENT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1" t="str">
        <f>[1]ThongtinDN!B6&amp;" "&amp;[1]ThongtinDN!C6</f>
        <v>Địa chỉ: 154A Đường Nguyễn Thị Thập, Phường Tân Thuận, Tp.HCM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1" t="str">
        <f>[1]ThongtinDN!B7&amp;" "&amp;[1]ThongtinDN!C7</f>
        <v>MST:  0318958531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0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3" t="s">
        <v>0</v>
      </c>
      <c r="B6" s="4"/>
      <c r="C6" s="4"/>
      <c r="D6" s="4"/>
      <c r="E6" s="2"/>
      <c r="F6" s="1" t="s">
        <v>1</v>
      </c>
      <c r="G6" s="5">
        <f>IF($C8="","",VLOOKUP($C$8,[1]Nhập!$A$11:$O$19999,8,0))</f>
        <v>0</v>
      </c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25" customHeight="1">
      <c r="A7" s="2"/>
      <c r="B7" s="7" t="s">
        <v>2</v>
      </c>
      <c r="C7" s="4"/>
      <c r="D7" s="4"/>
      <c r="E7" s="8"/>
      <c r="F7" s="9" t="s">
        <v>3</v>
      </c>
      <c r="G7" s="10">
        <f>IF($C8="","",VLOOKUP($C$8,[1]Nhập!$A$11:$O$19999,9,0))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10" t="s">
        <v>4</v>
      </c>
      <c r="C8" s="1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>
      <c r="A9" s="11" t="str">
        <f>"Nhập Theo Hóa Đơn số :"&amp;" "&amp;IF($C$8="","",TEXT(VLOOKUP($C$8,[1]Nhập!$A$11:$O$19999,2,0),"0000000"))&amp;"   "&amp;B7</f>
        <v>Nhập Theo Hóa Đơn số : 0000205   Ngày   12    tháng    11    năm   2025</v>
      </c>
      <c r="B9" s="5"/>
      <c r="C9" s="5"/>
      <c r="D9" s="12"/>
      <c r="E9" s="12"/>
      <c r="F9" s="12"/>
      <c r="G9" s="12"/>
      <c r="H9" s="12"/>
      <c r="I9" s="2"/>
      <c r="J9" s="2"/>
      <c r="K9" s="2"/>
      <c r="L9" s="2"/>
      <c r="M9" s="2"/>
      <c r="N9" s="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6.5" customHeight="1">
      <c r="A10" s="13" t="str">
        <f>"Của :"&amp;IF($C$8="","",VLOOKUP($C$8,[1]Nhập!$A$11:$O$19999,5,0))&amp;"                                "&amp;"Mã số thuế : "&amp;IF($C$8=""," ",VLOOKUP($C$8,[1]Nhập!$A$11:$O$19999,7,0))</f>
        <v xml:space="preserve">Của :                                Mã số thuế : </v>
      </c>
      <c r="B10" s="5"/>
      <c r="C10" s="12"/>
      <c r="D10" s="12"/>
      <c r="E10" s="5"/>
      <c r="F10" s="12"/>
      <c r="G10" s="13"/>
      <c r="H10" s="12"/>
      <c r="I10" s="2"/>
      <c r="J10" s="2"/>
      <c r="K10" s="2"/>
      <c r="L10" s="2"/>
      <c r="M10" s="2"/>
      <c r="N10" s="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6.5" customHeight="1">
      <c r="A11" s="14" t="str">
        <f>"Địa chỉ:   "&amp;IF($C$8="","",VLOOKUP($C$8,[1]Nhập!$A$11:$O$19999,6,0))</f>
        <v xml:space="preserve">Địa chỉ:   </v>
      </c>
      <c r="B11" s="5"/>
      <c r="C11" s="12"/>
      <c r="D11" s="12"/>
      <c r="E11" s="5"/>
      <c r="F11" s="12"/>
      <c r="G11" s="12"/>
      <c r="H11" s="12"/>
      <c r="I11" s="2"/>
      <c r="J11" s="2"/>
      <c r="K11" s="2"/>
      <c r="L11" s="2"/>
      <c r="M11" s="2"/>
      <c r="N11" s="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1.75" customHeight="1">
      <c r="A12" s="12" t="str">
        <f>"Nhập tại kho : "&amp;[1]ThongtinDN!C5</f>
        <v>Nhập tại kho : CÔNG TY TNHH JOY WORLD ENTERTAINMENT</v>
      </c>
      <c r="B12" s="12"/>
      <c r="C12" s="12"/>
      <c r="D12" s="12"/>
      <c r="E12" s="12"/>
      <c r="F12" s="12"/>
      <c r="G12" s="12"/>
      <c r="H12" s="12"/>
      <c r="I12" s="2"/>
      <c r="J12" s="2"/>
      <c r="K12" s="2"/>
      <c r="L12" s="2"/>
      <c r="M12" s="2"/>
      <c r="N12" s="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4.75" customHeight="1">
      <c r="A13" s="15" t="s">
        <v>6</v>
      </c>
      <c r="B13" s="16" t="s">
        <v>7</v>
      </c>
      <c r="C13" s="15" t="s">
        <v>8</v>
      </c>
      <c r="D13" s="15" t="s">
        <v>9</v>
      </c>
      <c r="E13" s="17" t="s">
        <v>10</v>
      </c>
      <c r="F13" s="18"/>
      <c r="G13" s="19" t="s">
        <v>11</v>
      </c>
      <c r="H13" s="19" t="s">
        <v>12</v>
      </c>
      <c r="I13" s="20" t="s">
        <v>13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1.5" customHeight="1">
      <c r="A14" s="21"/>
      <c r="B14" s="22"/>
      <c r="C14" s="21"/>
      <c r="D14" s="21"/>
      <c r="E14" s="23" t="s">
        <v>14</v>
      </c>
      <c r="F14" s="23" t="s">
        <v>15</v>
      </c>
      <c r="G14" s="21"/>
      <c r="H14" s="21"/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4" t="s">
        <v>16</v>
      </c>
      <c r="B15" s="25" t="s">
        <v>17</v>
      </c>
      <c r="C15" s="26" t="s">
        <v>18</v>
      </c>
      <c r="D15" s="26" t="s">
        <v>19</v>
      </c>
      <c r="E15" s="26">
        <v>1</v>
      </c>
      <c r="F15" s="26">
        <v>2</v>
      </c>
      <c r="G15" s="25">
        <v>3</v>
      </c>
      <c r="H15" s="26">
        <v>4</v>
      </c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8">
        <f t="shared" ref="A16:A79" si="0">IF(B16="","",COUNTA($B$16:B16))</f>
        <v>1</v>
      </c>
      <c r="B16" s="29" t="str">
        <f t="array" ref="B16">IF($I16="","",INDEX([1]Nhập!$K$11:$K$19999,$I16))</f>
        <v>Nhãn dán Công viên giải trí</v>
      </c>
      <c r="C16" s="29" t="str">
        <f t="array" ref="C16">IF($I16="","",INDEX([1]Nhập!$J$11:$J$19999,$I16))</f>
        <v>JWG0001</v>
      </c>
      <c r="D16" s="30" t="str">
        <f t="array" ref="D16">IF($I16="","",INDEX([1]Nhập!$L$11:$L$19999,$I16))</f>
        <v>Cái</v>
      </c>
      <c r="E16" s="31">
        <f t="array" ref="E16">IF($I16="","",INDEX([1]Nhập!$M$11:$M$19999,$I16))</f>
        <v>2800</v>
      </c>
      <c r="F16" s="31">
        <f t="shared" ref="F16:F79" si="1">E16</f>
        <v>2800</v>
      </c>
      <c r="G16" s="31">
        <f t="array" ref="G16">IF($I16="","",INDEX([1]Nhập!$N$11:$N$19999,$I16))</f>
        <v>2142.6615000000002</v>
      </c>
      <c r="H16" s="31">
        <f t="array" ref="H16">IF($I16="","",INDEX([1]Nhập!$O$11:$O$19999,$I16))</f>
        <v>5999452.2000000002</v>
      </c>
      <c r="I16" s="32">
        <f>IF(TYPE(MATCH($C$8,[1]Nhập!$A$11:$A$20000,0))=16,"",MATCH($C$8,[1]Nhập!$A$11:$A$20000,0))</f>
        <v>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8">
        <f t="shared" ca="1" si="0"/>
        <v>2</v>
      </c>
      <c r="B17" s="29" t="str">
        <f t="array" aca="1" ref="B17" ca="1">IF($I17="","",INDEX([1]Nhập!$K$11:$K$19999,$I17))</f>
        <v>Đồng xu kỷ niệm độc quyền B.Duck</v>
      </c>
      <c r="C17" s="29" t="str">
        <f t="array" aca="1" ref="C17" ca="1">IF($I17="","",INDEX([1]Nhập!$J$11:$J$19999,$I17))</f>
        <v>JWG0002</v>
      </c>
      <c r="D17" s="30" t="str">
        <f t="array" aca="1" ref="D17" ca="1">IF($I17="","",INDEX([1]Nhập!$L$11:$L$19999,$I17))</f>
        <v>Cái</v>
      </c>
      <c r="E17" s="31">
        <f t="array" aca="1" ref="E17" ca="1">IF($I17="","",INDEX([1]Nhập!$M$11:$M$19999,$I17))</f>
        <v>1500</v>
      </c>
      <c r="F17" s="31">
        <f t="shared" ca="1" si="1"/>
        <v>1500</v>
      </c>
      <c r="G17" s="31">
        <f t="array" aca="1" ref="G17" ca="1">IF($I17="","",INDEX([1]Nhập!$N$11:$N$19999,$I17))</f>
        <v>9258.5115000000005</v>
      </c>
      <c r="H17" s="31">
        <f t="array" aca="1" ref="H17" ca="1">IF($I17="","",INDEX([1]Nhập!$O$11:$O$19999,$I17))</f>
        <v>13887767.25</v>
      </c>
      <c r="I17" s="32">
        <f ca="1">IF(TYPE(MATCH($C$8,OFFSET([1]Nhập!$A$11,I16,0):'[1]Nhập'!$A$20000,0)+I16)=16,"",MATCH($C$8,OFFSET([1]Nhập!$A$11,I16,0):'[1]Nhập'!$A$20000,0)+I16)</f>
        <v>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8">
        <f t="shared" ca="1" si="0"/>
        <v>3</v>
      </c>
      <c r="B18" s="29" t="str">
        <f t="array" aca="1" ref="B18" ca="1">IF($I18="","",INDEX([1]Nhập!$K$11:$K$19999,$I18))</f>
        <v>Hộp đựng đồng xu kỷ niệm</v>
      </c>
      <c r="C18" s="29" t="str">
        <f t="array" aca="1" ref="C18" ca="1">IF($I18="","",INDEX([1]Nhập!$J$11:$J$19999,$I18))</f>
        <v>JWG0003</v>
      </c>
      <c r="D18" s="30" t="str">
        <f t="array" aca="1" ref="D18" ca="1">IF($I18="","",INDEX([1]Nhập!$L$11:$L$19999,$I18))</f>
        <v>Cái</v>
      </c>
      <c r="E18" s="31">
        <f t="array" aca="1" ref="E18" ca="1">IF($I18="","",INDEX([1]Nhập!$M$11:$M$19999,$I18))</f>
        <v>1500</v>
      </c>
      <c r="F18" s="31">
        <f t="shared" ca="1" si="1"/>
        <v>1500</v>
      </c>
      <c r="G18" s="31">
        <f t="array" aca="1" ref="G18" ca="1">IF($I18="","",INDEX([1]Nhập!$N$11:$N$19999,$I18))</f>
        <v>9258.5115000000005</v>
      </c>
      <c r="H18" s="31">
        <f t="array" aca="1" ref="H18" ca="1">IF($I18="","",INDEX([1]Nhập!$O$11:$O$19999,$I18))</f>
        <v>13887767.25</v>
      </c>
      <c r="I18" s="32">
        <f ca="1">IF(TYPE(MATCH($C$8,OFFSET([1]Nhập!$A$11,I17,0):'[1]Nhập'!$A$20000,0)+I17)=16,"",MATCH($C$8,OFFSET([1]Nhập!$A$11,I17,0):'[1]Nhập'!$A$20000,0)+I17)</f>
        <v>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8">
        <f t="shared" ca="1" si="0"/>
        <v>4</v>
      </c>
      <c r="B19" s="29" t="str">
        <f t="array" aca="1" ref="B19" ca="1">IF($I19="","",INDEX([1]Nhập!$K$11:$K$19999,$I19))</f>
        <v>Thẻ đánh dấu sách độc quyền</v>
      </c>
      <c r="C19" s="29" t="str">
        <f t="array" aca="1" ref="C19" ca="1">IF($I19="","",INDEX([1]Nhập!$J$11:$J$19999,$I19))</f>
        <v>JWG0004</v>
      </c>
      <c r="D19" s="30" t="str">
        <f t="array" aca="1" ref="D19" ca="1">IF($I19="","",INDEX([1]Nhập!$L$11:$L$19999,$I19))</f>
        <v>Cái</v>
      </c>
      <c r="E19" s="31">
        <f t="array" aca="1" ref="E19" ca="1">IF($I19="","",INDEX([1]Nhập!$M$11:$M$19999,$I19))</f>
        <v>2000</v>
      </c>
      <c r="F19" s="31">
        <f t="shared" ca="1" si="1"/>
        <v>2000</v>
      </c>
      <c r="G19" s="31">
        <f t="array" aca="1" ref="G19" ca="1">IF($I19="","",INDEX([1]Nhập!$N$11:$N$19999,$I19))</f>
        <v>740.57550000000003</v>
      </c>
      <c r="H19" s="31">
        <f t="array" aca="1" ref="H19" ca="1">IF($I19="","",INDEX([1]Nhập!$O$11:$O$19999,$I19))</f>
        <v>1481151</v>
      </c>
      <c r="I19" s="32">
        <f ca="1">IF(TYPE(MATCH($C$8,OFFSET([1]Nhập!$A$11,I18,0):'[1]Nhập'!$A$20000,0)+I18)=16,"",MATCH($C$8,OFFSET([1]Nhập!$A$11,I18,0):'[1]Nhập'!$A$20000,0)+I18)</f>
        <v>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8">
        <f t="shared" ca="1" si="0"/>
        <v>5</v>
      </c>
      <c r="B20" s="29" t="str">
        <f t="array" aca="1" ref="B20" ca="1">IF($I20="","",INDEX([1]Nhập!$K$11:$K$19999,$I20))</f>
        <v>Nam châm tủ lạnh độc quyền B.Duck</v>
      </c>
      <c r="C20" s="29" t="str">
        <f t="array" aca="1" ref="C20" ca="1">IF($I20="","",INDEX([1]Nhập!$J$11:$J$19999,$I20))</f>
        <v>JWG0005</v>
      </c>
      <c r="D20" s="30" t="str">
        <f t="array" aca="1" ref="D20" ca="1">IF($I20="","",INDEX([1]Nhập!$L$11:$L$19999,$I20))</f>
        <v>Cái</v>
      </c>
      <c r="E20" s="31">
        <f t="array" aca="1" ref="E20" ca="1">IF($I20="","",INDEX([1]Nhập!$M$11:$M$19999,$I20))</f>
        <v>1500</v>
      </c>
      <c r="F20" s="31">
        <f t="shared" ca="1" si="1"/>
        <v>1500</v>
      </c>
      <c r="G20" s="31">
        <f t="array" aca="1" ref="G20" ca="1">IF($I20="","",INDEX([1]Nhập!$N$11:$N$19999,$I20))</f>
        <v>8146.3305</v>
      </c>
      <c r="H20" s="31">
        <f t="array" aca="1" ref="H20" ca="1">IF($I20="","",INDEX([1]Nhập!$O$11:$O$19999,$I20))</f>
        <v>12219495.75</v>
      </c>
      <c r="I20" s="32">
        <f ca="1">IF(TYPE(MATCH($C$8,OFFSET([1]Nhập!$A$11,I19,0):'[1]Nhập'!$A$20000,0)+I19)=16,"",MATCH($C$8,OFFSET([1]Nhập!$A$11,I19,0):'[1]Nhập'!$A$20000,0)+I19)</f>
        <v>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8">
        <f t="shared" ca="1" si="0"/>
        <v>6</v>
      </c>
      <c r="B21" s="29" t="str">
        <f t="array" aca="1" ref="B21" ca="1">IF($I21="","",INDEX([1]Nhập!$K$11:$K$19999,$I21))</f>
        <v>Bong bóng cài tóc / Băng đô bong bóng</v>
      </c>
      <c r="C21" s="29" t="str">
        <f t="array" aca="1" ref="C21" ca="1">IF($I21="","",INDEX([1]Nhập!$J$11:$J$19999,$I21))</f>
        <v>JWG0006</v>
      </c>
      <c r="D21" s="30" t="str">
        <f t="array" aca="1" ref="D21" ca="1">IF($I21="","",INDEX([1]Nhập!$L$11:$L$19999,$I21))</f>
        <v>Cái</v>
      </c>
      <c r="E21" s="31">
        <f t="array" aca="1" ref="E21" ca="1">IF($I21="","",INDEX([1]Nhập!$M$11:$M$19999,$I21))</f>
        <v>3000</v>
      </c>
      <c r="F21" s="31">
        <f t="shared" ca="1" si="1"/>
        <v>3000</v>
      </c>
      <c r="G21" s="31">
        <f t="array" aca="1" ref="G21" ca="1">IF($I21="","",INDEX([1]Nhập!$N$11:$N$19999,$I21))</f>
        <v>1112.181</v>
      </c>
      <c r="H21" s="31">
        <f t="array" aca="1" ref="H21" ca="1">IF($I21="","",INDEX([1]Nhập!$O$11:$O$19999,$I21))</f>
        <v>3336543</v>
      </c>
      <c r="I21" s="32">
        <f ca="1">IF(TYPE(MATCH($C$8,OFFSET([1]Nhập!$A$11,I20,0):'[1]Nhập'!$A$20000,0)+I20)=16,"",MATCH($C$8,OFFSET([1]Nhập!$A$11,I20,0):'[1]Nhập'!$A$20000,0)+I20)</f>
        <v>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8">
        <f t="shared" ca="1" si="0"/>
        <v>7</v>
      </c>
      <c r="B22" s="29" t="str">
        <f t="array" aca="1" ref="B22" ca="1">IF($I22="","",INDEX([1]Nhập!$K$11:$K$19999,$I22))</f>
        <v>Bong bóng ba lô</v>
      </c>
      <c r="C22" s="29" t="str">
        <f t="array" aca="1" ref="C22" ca="1">IF($I22="","",INDEX([1]Nhập!$J$11:$J$19999,$I22))</f>
        <v>JWG0007</v>
      </c>
      <c r="D22" s="30" t="str">
        <f t="array" aca="1" ref="D22" ca="1">IF($I22="","",INDEX([1]Nhập!$L$11:$L$19999,$I22))</f>
        <v>Cái</v>
      </c>
      <c r="E22" s="31">
        <f t="array" aca="1" ref="E22" ca="1">IF($I22="","",INDEX([1]Nhập!$M$11:$M$19999,$I22))</f>
        <v>4000</v>
      </c>
      <c r="F22" s="31">
        <f t="shared" ca="1" si="1"/>
        <v>4000</v>
      </c>
      <c r="G22" s="31">
        <f t="array" aca="1" ref="G22" ca="1">IF($I22="","",INDEX([1]Nhập!$N$11:$N$19999,$I22))</f>
        <v>1665.636</v>
      </c>
      <c r="H22" s="31">
        <f t="array" aca="1" ref="H22" ca="1">IF($I22="","",INDEX([1]Nhập!$O$11:$O$19999,$I22))</f>
        <v>6662544</v>
      </c>
      <c r="I22" s="32">
        <f ca="1">IF(TYPE(MATCH($C$8,OFFSET([1]Nhập!$A$11,I21,0):'[1]Nhập'!$A$20000,0)+I21)=16,"",MATCH($C$8,OFFSET([1]Nhập!$A$11,I21,0):'[1]Nhập'!$A$20000,0)+I21)</f>
        <v>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8">
        <f t="shared" ca="1" si="0"/>
        <v>8</v>
      </c>
      <c r="B23" s="29" t="str">
        <f t="array" aca="1" ref="B23" ca="1">IF($I23="","",INDEX([1]Nhập!$K$11:$K$19999,$I23))</f>
        <v>Huy hiệu thiếc B.Duck</v>
      </c>
      <c r="C23" s="29" t="str">
        <f t="array" aca="1" ref="C23" ca="1">IF($I23="","",INDEX([1]Nhập!$J$11:$J$19999,$I23))</f>
        <v>JWG0008</v>
      </c>
      <c r="D23" s="30" t="str">
        <f t="array" aca="1" ref="D23" ca="1">IF($I23="","",INDEX([1]Nhập!$L$11:$L$19999,$I23))</f>
        <v>Cái</v>
      </c>
      <c r="E23" s="31">
        <f t="array" aca="1" ref="E23" ca="1">IF($I23="","",INDEX([1]Nhập!$M$11:$M$19999,$I23))</f>
        <v>2000</v>
      </c>
      <c r="F23" s="31">
        <f t="shared" ca="1" si="1"/>
        <v>2000</v>
      </c>
      <c r="G23" s="31">
        <f t="array" aca="1" ref="G23" ca="1">IF($I23="","",INDEX([1]Nhập!$N$11:$N$19999,$I23))</f>
        <v>1852.7565</v>
      </c>
      <c r="H23" s="31">
        <f t="array" aca="1" ref="H23" ca="1">IF($I23="","",INDEX([1]Nhập!$O$11:$O$19999,$I23))</f>
        <v>3705513</v>
      </c>
      <c r="I23" s="32">
        <f ca="1">IF(TYPE(MATCH($C$8,OFFSET([1]Nhập!$A$11,I22,0):'[1]Nhập'!$A$20000,0)+I22)=16,"",MATCH($C$8,OFFSET([1]Nhập!$A$11,I22,0):'[1]Nhập'!$A$20000,0)+I22)</f>
        <v>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8">
        <f t="shared" ca="1" si="0"/>
        <v>9</v>
      </c>
      <c r="B24" s="29" t="str">
        <f t="array" aca="1" ref="B24" ca="1">IF($I24="","",INDEX([1]Nhập!$K$11:$K$19999,$I24))</f>
        <v>Sổ tay (kiểu Hộ chiếu)</v>
      </c>
      <c r="C24" s="29" t="str">
        <f t="array" aca="1" ref="C24" ca="1">IF($I24="","",INDEX([1]Nhập!$J$11:$J$19999,$I24))</f>
        <v>JWG0009</v>
      </c>
      <c r="D24" s="30" t="str">
        <f t="array" aca="1" ref="D24" ca="1">IF($I24="","",INDEX([1]Nhập!$L$11:$L$19999,$I24))</f>
        <v>Cái</v>
      </c>
      <c r="E24" s="31">
        <f t="array" aca="1" ref="E24" ca="1">IF($I24="","",INDEX([1]Nhập!$M$11:$M$19999,$I24))</f>
        <v>8000</v>
      </c>
      <c r="F24" s="31">
        <f t="shared" ca="1" si="1"/>
        <v>8000</v>
      </c>
      <c r="G24" s="31">
        <f t="array" aca="1" ref="G24" ca="1">IF($I24="","",INDEX([1]Nhập!$N$11:$N$19999,$I24))</f>
        <v>1296.6659999999999</v>
      </c>
      <c r="H24" s="31">
        <f t="array" aca="1" ref="H24" ca="1">IF($I24="","",INDEX([1]Nhập!$O$11:$O$19999,$I24))</f>
        <v>10373328</v>
      </c>
      <c r="I24" s="32">
        <f ca="1">IF(TYPE(MATCH($C$8,OFFSET([1]Nhập!$A$11,I23,0):'[1]Nhập'!$A$20000,0)+I23)=16,"",MATCH($C$8,OFFSET([1]Nhập!$A$11,I23,0):'[1]Nhập'!$A$20000,0)+I23)</f>
        <v>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8">
        <f t="shared" ca="1" si="0"/>
        <v>10</v>
      </c>
      <c r="B25" s="29" t="str">
        <f t="array" aca="1" ref="B25" ca="1">IF($I25="","",INDEX([1]Nhập!$K$11:$K$19999,$I25))</f>
        <v>Huy hiệu hợp kim kẽm</v>
      </c>
      <c r="C25" s="29" t="str">
        <f t="array" aca="1" ref="C25" ca="1">IF($I25="","",INDEX([1]Nhập!$J$11:$J$19999,$I25))</f>
        <v>JWG0010</v>
      </c>
      <c r="D25" s="30" t="str">
        <f t="array" aca="1" ref="D25" ca="1">IF($I25="","",INDEX([1]Nhập!$L$11:$L$19999,$I25))</f>
        <v>Cái</v>
      </c>
      <c r="E25" s="31">
        <f t="array" aca="1" ref="E25" ca="1">IF($I25="","",INDEX([1]Nhập!$M$11:$M$19999,$I25))</f>
        <v>1500</v>
      </c>
      <c r="F25" s="31">
        <f t="shared" ca="1" si="1"/>
        <v>1500</v>
      </c>
      <c r="G25" s="31">
        <f t="array" aca="1" ref="G25" ca="1">IF($I25="","",INDEX([1]Nhập!$N$11:$N$19999,$I25))</f>
        <v>9258.5115000000005</v>
      </c>
      <c r="H25" s="31">
        <f t="array" aca="1" ref="H25" ca="1">IF($I25="","",INDEX([1]Nhập!$O$11:$O$19999,$I25))</f>
        <v>13887767.25</v>
      </c>
      <c r="I25" s="32">
        <f ca="1">IF(TYPE(MATCH($C$8,OFFSET([1]Nhập!$A$11,I24,0):'[1]Nhập'!$A$20000,0)+I24)=16,"",MATCH($C$8,OFFSET([1]Nhập!$A$11,I24,0):'[1]Nhập'!$A$20000,0)+I24)</f>
        <v>10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8">
        <f t="shared" ca="1" si="0"/>
        <v>11</v>
      </c>
      <c r="B26" s="29" t="str">
        <f t="array" aca="1" ref="B26" ca="1">IF($I26="","",INDEX([1]Nhập!$K$11:$K$19999,$I26))</f>
        <v>Vịt lăn chạy bằng quán tính</v>
      </c>
      <c r="C26" s="29" t="str">
        <f t="array" aca="1" ref="C26" ca="1">IF($I26="","",INDEX([1]Nhập!$J$11:$J$19999,$I26))</f>
        <v>JWG0011</v>
      </c>
      <c r="D26" s="30" t="str">
        <f t="array" aca="1" ref="D26" ca="1">IF($I26="","",INDEX([1]Nhập!$L$11:$L$19999,$I26))</f>
        <v>Cái</v>
      </c>
      <c r="E26" s="31">
        <f t="array" aca="1" ref="E26" ca="1">IF($I26="","",INDEX([1]Nhập!$M$11:$M$19999,$I26))</f>
        <v>720</v>
      </c>
      <c r="F26" s="31">
        <f t="shared" ca="1" si="1"/>
        <v>720</v>
      </c>
      <c r="G26" s="31">
        <f t="array" aca="1" ref="G26" ca="1">IF($I26="","",INDEX([1]Nhập!$N$11:$N$19999,$I26))</f>
        <v>9258.5115000000005</v>
      </c>
      <c r="H26" s="31">
        <f t="array" aca="1" ref="H26" ca="1">IF($I26="","",INDEX([1]Nhập!$O$11:$O$19999,$I26))</f>
        <v>6666128.2800000003</v>
      </c>
      <c r="I26" s="32">
        <f ca="1">IF(TYPE(MATCH($C$8,OFFSET([1]Nhập!$A$11,I25,0):'[1]Nhập'!$A$20000,0)+I25)=16,"",MATCH($C$8,OFFSET([1]Nhập!$A$11,I25,0):'[1]Nhập'!$A$20000,0)+I25)</f>
        <v>11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8">
        <f t="shared" ca="1" si="0"/>
        <v>12</v>
      </c>
      <c r="B27" s="29" t="str">
        <f t="array" aca="1" ref="B27" ca="1">IF($I27="","",INDEX([1]Nhập!$K$11:$K$19999,$I27))</f>
        <v>Thú bông trang trí treo gương</v>
      </c>
      <c r="C27" s="29" t="str">
        <f t="array" aca="1" ref="C27" ca="1">IF($I27="","",INDEX([1]Nhập!$J$11:$J$19999,$I27))</f>
        <v>JWG0012</v>
      </c>
      <c r="D27" s="30" t="str">
        <f t="array" aca="1" ref="D27" ca="1">IF($I27="","",INDEX([1]Nhập!$L$11:$L$19999,$I27))</f>
        <v>Cái</v>
      </c>
      <c r="E27" s="31">
        <f t="array" aca="1" ref="E27" ca="1">IF($I27="","",INDEX([1]Nhập!$M$11:$M$19999,$I27))</f>
        <v>146</v>
      </c>
      <c r="F27" s="31">
        <f t="shared" ca="1" si="1"/>
        <v>146</v>
      </c>
      <c r="G27" s="31">
        <f t="array" aca="1" ref="G27" ca="1">IF($I27="","",INDEX([1]Nhập!$N$11:$N$19999,$I27))</f>
        <v>14811.51</v>
      </c>
      <c r="H27" s="31">
        <f t="array" aca="1" ref="H27" ca="1">IF($I27="","",INDEX([1]Nhập!$O$11:$O$19999,$I27))</f>
        <v>2162480.46</v>
      </c>
      <c r="I27" s="32">
        <f ca="1">IF(TYPE(MATCH($C$8,OFFSET([1]Nhập!$A$11,I26,0):'[1]Nhập'!$A$20000,0)+I26)=16,"",MATCH($C$8,OFFSET([1]Nhập!$A$11,I26,0):'[1]Nhập'!$A$20000,0)+I26)</f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8">
        <f t="shared" ca="1" si="0"/>
        <v>13</v>
      </c>
      <c r="B28" s="29" t="str">
        <f t="array" aca="1" ref="B28" ca="1">IF($I28="","",INDEX([1]Nhập!$K$11:$K$19999,$I28))</f>
        <v>Ván trượt 17 inch</v>
      </c>
      <c r="C28" s="29" t="str">
        <f t="array" aca="1" ref="C28" ca="1">IF($I28="","",INDEX([1]Nhập!$J$11:$J$19999,$I28))</f>
        <v>JWG0013</v>
      </c>
      <c r="D28" s="30" t="str">
        <f t="array" aca="1" ref="D28" ca="1">IF($I28="","",INDEX([1]Nhập!$L$11:$L$19999,$I28))</f>
        <v>Cái</v>
      </c>
      <c r="E28" s="31">
        <f t="array" aca="1" ref="E28" ca="1">IF($I28="","",INDEX([1]Nhập!$M$11:$M$19999,$I28))</f>
        <v>144</v>
      </c>
      <c r="F28" s="31">
        <f t="shared" ca="1" si="1"/>
        <v>144</v>
      </c>
      <c r="G28" s="31">
        <f t="array" aca="1" ref="G28" ca="1">IF($I28="","",INDEX([1]Nhập!$N$11:$N$19999,$I28))</f>
        <v>20367.144</v>
      </c>
      <c r="H28" s="31">
        <f t="array" aca="1" ref="H28" ca="1">IF($I28="","",INDEX([1]Nhập!$O$11:$O$19999,$I28))</f>
        <v>2932868.736</v>
      </c>
      <c r="I28" s="32">
        <f ca="1">IF(TYPE(MATCH($C$8,OFFSET([1]Nhập!$A$11,I27,0):'[1]Nhập'!$A$20000,0)+I27)=16,"",MATCH($C$8,OFFSET([1]Nhập!$A$11,I27,0):'[1]Nhập'!$A$20000,0)+I27)</f>
        <v>13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8">
        <f t="shared" ca="1" si="0"/>
        <v>14</v>
      </c>
      <c r="B29" s="29" t="str">
        <f t="array" aca="1" ref="B29" ca="1">IF($I29="","",INDEX([1]Nhập!$K$11:$K$19999,$I29))</f>
        <v>Trang phục linh vật</v>
      </c>
      <c r="C29" s="29" t="str">
        <f t="array" aca="1" ref="C29" ca="1">IF($I29="","",INDEX([1]Nhập!$J$11:$J$19999,$I29))</f>
        <v>JWG0014</v>
      </c>
      <c r="D29" s="30" t="str">
        <f t="array" aca="1" ref="D29" ca="1">IF($I29="","",INDEX([1]Nhập!$L$11:$L$19999,$I29))</f>
        <v>Cái</v>
      </c>
      <c r="E29" s="31">
        <f t="array" aca="1" ref="E29" ca="1">IF($I29="","",INDEX([1]Nhập!$M$11:$M$19999,$I29))</f>
        <v>1</v>
      </c>
      <c r="F29" s="31">
        <f t="shared" ca="1" si="1"/>
        <v>1</v>
      </c>
      <c r="G29" s="31">
        <f t="array" aca="1" ref="G29" ca="1">IF($I29="","",INDEX([1]Nhập!$N$11:$N$19999,$I29))</f>
        <v>5438090.7000000002</v>
      </c>
      <c r="H29" s="31">
        <f t="array" aca="1" ref="H29" ca="1">IF($I29="","",INDEX([1]Nhập!$O$11:$O$19999,$I29))</f>
        <v>5438090.7000000002</v>
      </c>
      <c r="I29" s="32">
        <f ca="1">IF(TYPE(MATCH($C$8,OFFSET([1]Nhập!$A$11,I28,0):'[1]Nhập'!$A$20000,0)+I28)=16,"",MATCH($C$8,OFFSET([1]Nhập!$A$11,I28,0):'[1]Nhập'!$A$20000,0)+I28)</f>
        <v>14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8">
        <f t="shared" ca="1" si="0"/>
        <v>15</v>
      </c>
      <c r="B30" s="29" t="str">
        <f t="array" aca="1" ref="B30" ca="1">IF($I30="","",INDEX([1]Nhập!$K$11:$K$19999,$I30))</f>
        <v>Đàn Ukulele</v>
      </c>
      <c r="C30" s="29" t="str">
        <f t="array" aca="1" ref="C30" ca="1">IF($I30="","",INDEX([1]Nhập!$J$11:$J$19999,$I30))</f>
        <v>JWG0015</v>
      </c>
      <c r="D30" s="30" t="str">
        <f t="array" aca="1" ref="D30" ca="1">IF($I30="","",INDEX([1]Nhập!$L$11:$L$19999,$I30))</f>
        <v>Cái</v>
      </c>
      <c r="E30" s="31">
        <f t="array" aca="1" ref="E30" ca="1">IF($I30="","",INDEX([1]Nhập!$M$11:$M$19999,$I30))</f>
        <v>288</v>
      </c>
      <c r="F30" s="31">
        <f t="shared" ca="1" si="1"/>
        <v>288</v>
      </c>
      <c r="G30" s="31">
        <f t="array" aca="1" ref="G30" ca="1">IF($I30="","",INDEX([1]Nhập!$N$11:$N$19999,$I30))</f>
        <v>12961.388999999999</v>
      </c>
      <c r="H30" s="31">
        <f t="array" aca="1" ref="H30" ca="1">IF($I30="","",INDEX([1]Nhập!$O$11:$O$19999,$I30))</f>
        <v>3732880.0319999997</v>
      </c>
      <c r="I30" s="32">
        <f ca="1">IF(TYPE(MATCH($C$8,OFFSET([1]Nhập!$A$11,I29,0):'[1]Nhập'!$A$20000,0)+I29)=16,"",MATCH($C$8,OFFSET([1]Nhập!$A$11,I29,0):'[1]Nhập'!$A$20000,0)+I29)</f>
        <v>15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8">
        <f t="shared" ca="1" si="0"/>
        <v>16</v>
      </c>
      <c r="B31" s="29" t="str">
        <f t="array" aca="1" ref="B31" ca="1">IF($I31="","",INDEX([1]Nhập!$K$11:$K$19999,$I31))</f>
        <v>Hộp đựng tiền/Ống heo hình Khủng long</v>
      </c>
      <c r="C31" s="29" t="str">
        <f t="array" aca="1" ref="C31" ca="1">IF($I31="","",INDEX([1]Nhập!$J$11:$J$19999,$I31))</f>
        <v>JWG0016</v>
      </c>
      <c r="D31" s="30" t="str">
        <f t="array" aca="1" ref="D31" ca="1">IF($I31="","",INDEX([1]Nhập!$L$11:$L$19999,$I31))</f>
        <v>Cái</v>
      </c>
      <c r="E31" s="31">
        <f t="array" aca="1" ref="E31" ca="1">IF($I31="","",INDEX([1]Nhập!$M$11:$M$19999,$I31))</f>
        <v>40</v>
      </c>
      <c r="F31" s="31">
        <f t="shared" ca="1" si="1"/>
        <v>40</v>
      </c>
      <c r="G31" s="31">
        <f t="array" aca="1" ref="G31" ca="1">IF($I31="","",INDEX([1]Nhập!$N$11:$N$19999,$I31))</f>
        <v>12961.388999999999</v>
      </c>
      <c r="H31" s="31">
        <f t="array" aca="1" ref="H31" ca="1">IF($I31="","",INDEX([1]Nhập!$O$11:$O$19999,$I31))</f>
        <v>518455.55999999994</v>
      </c>
      <c r="I31" s="32">
        <f ca="1">IF(TYPE(MATCH($C$8,OFFSET([1]Nhập!$A$11,I30,0):'[1]Nhập'!$A$20000,0)+I30)=16,"",MATCH($C$8,OFFSET([1]Nhập!$A$11,I30,0):'[1]Nhập'!$A$20000,0)+I30)</f>
        <v>16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8">
        <f t="shared" ca="1" si="0"/>
        <v>17</v>
      </c>
      <c r="B32" s="29" t="str">
        <f t="array" aca="1" ref="B32" ca="1">IF($I32="","",INDEX([1]Nhập!$K$11:$K$19999,$I32))</f>
        <v>Vòng quay ném bóng rổ vui nhộn (5 tầng)</v>
      </c>
      <c r="C32" s="29" t="str">
        <f t="array" aca="1" ref="C32" ca="1">IF($I32="","",INDEX([1]Nhập!$J$11:$J$19999,$I32))</f>
        <v>JWG0017</v>
      </c>
      <c r="D32" s="30" t="str">
        <f t="array" aca="1" ref="D32" ca="1">IF($I32="","",INDEX([1]Nhập!$L$11:$L$19999,$I32))</f>
        <v>Cái</v>
      </c>
      <c r="E32" s="31">
        <f t="array" aca="1" ref="E32" ca="1">IF($I32="","",INDEX([1]Nhập!$M$11:$M$19999,$I32))</f>
        <v>120</v>
      </c>
      <c r="F32" s="31">
        <f t="shared" ca="1" si="1"/>
        <v>120</v>
      </c>
      <c r="G32" s="31">
        <f t="array" aca="1" ref="G32" ca="1">IF($I32="","",INDEX([1]Nhập!$N$11:$N$19999,$I32))</f>
        <v>11108.6325</v>
      </c>
      <c r="H32" s="31">
        <f t="array" aca="1" ref="H32" ca="1">IF($I32="","",INDEX([1]Nhập!$O$11:$O$19999,$I32))</f>
        <v>1333035.8999999999</v>
      </c>
      <c r="I32" s="32">
        <f ca="1">IF(TYPE(MATCH($C$8,OFFSET([1]Nhập!$A$11,I31,0):'[1]Nhập'!$A$20000,0)+I31)=16,"",MATCH($C$8,OFFSET([1]Nhập!$A$11,I31,0):'[1]Nhập'!$A$20000,0)+I31)</f>
        <v>17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8">
        <f t="shared" ca="1" si="0"/>
        <v>18</v>
      </c>
      <c r="B33" s="29" t="str">
        <f t="array" aca="1" ref="B33" ca="1">IF($I33="","",INDEX([1]Nhập!$K$11:$K$19999,$I33))</f>
        <v>Dây nhảy cán tre B.Duck</v>
      </c>
      <c r="C33" s="29" t="str">
        <f t="array" aca="1" ref="C33" ca="1">IF($I33="","",INDEX([1]Nhập!$J$11:$J$19999,$I33))</f>
        <v>JWG0018</v>
      </c>
      <c r="D33" s="30" t="str">
        <f t="array" aca="1" ref="D33" ca="1">IF($I33="","",INDEX([1]Nhập!$L$11:$L$19999,$I33))</f>
        <v>Cái</v>
      </c>
      <c r="E33" s="31">
        <f t="array" aca="1" ref="E33" ca="1">IF($I33="","",INDEX([1]Nhập!$M$11:$M$19999,$I33))</f>
        <v>36</v>
      </c>
      <c r="F33" s="31">
        <f t="shared" ca="1" si="1"/>
        <v>36</v>
      </c>
      <c r="G33" s="31">
        <f t="array" aca="1" ref="G33" ca="1">IF($I33="","",INDEX([1]Nhập!$N$11:$N$19999,$I33))</f>
        <v>7405.7550000000001</v>
      </c>
      <c r="H33" s="31">
        <f t="array" aca="1" ref="H33" ca="1">IF($I33="","",INDEX([1]Nhập!$O$11:$O$19999,$I33))</f>
        <v>266607.18</v>
      </c>
      <c r="I33" s="32">
        <f ca="1">IF(TYPE(MATCH($C$8,OFFSET([1]Nhập!$A$11,I32,0):'[1]Nhập'!$A$20000,0)+I32)=16,"",MATCH($C$8,OFFSET([1]Nhập!$A$11,I32,0):'[1]Nhập'!$A$20000,0)+I32)</f>
        <v>18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8">
        <f t="shared" ca="1" si="0"/>
        <v>19</v>
      </c>
      <c r="B34" s="29" t="str">
        <f t="array" aca="1" ref="B34" ca="1">IF($I34="","",INDEX([1]Nhập!$K$11:$K$19999,$I34))</f>
        <v>Khung ảnh B.Duck series Xingfan Xiangyang (198pcs)</v>
      </c>
      <c r="C34" s="29" t="str">
        <f t="array" aca="1" ref="C34" ca="1">IF($I34="","",INDEX([1]Nhập!$J$11:$J$19999,$I34))</f>
        <v>JWG0019</v>
      </c>
      <c r="D34" s="30" t="str">
        <f t="array" aca="1" ref="D34" ca="1">IF($I34="","",INDEX([1]Nhập!$L$11:$L$19999,$I34))</f>
        <v>Cái</v>
      </c>
      <c r="E34" s="31">
        <f t="array" aca="1" ref="E34" ca="1">IF($I34="","",INDEX([1]Nhập!$M$11:$M$19999,$I34))</f>
        <v>192</v>
      </c>
      <c r="F34" s="31">
        <f t="shared" ca="1" si="1"/>
        <v>192</v>
      </c>
      <c r="G34" s="31">
        <f t="array" aca="1" ref="G34" ca="1">IF($I34="","",INDEX([1]Nhập!$N$11:$N$19999,$I34))</f>
        <v>11108.6325</v>
      </c>
      <c r="H34" s="31">
        <f t="array" aca="1" ref="H34" ca="1">IF($I34="","",INDEX([1]Nhập!$O$11:$O$19999,$I34))</f>
        <v>2132857.44</v>
      </c>
      <c r="I34" s="32">
        <f ca="1">IF(TYPE(MATCH($C$8,OFFSET([1]Nhập!$A$11,I33,0):'[1]Nhập'!$A$20000,0)+I33)=16,"",MATCH($C$8,OFFSET([1]Nhập!$A$11,I33,0):'[1]Nhập'!$A$20000,0)+I33)</f>
        <v>19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8">
        <f t="shared" ca="1" si="0"/>
        <v>20</v>
      </c>
      <c r="B35" s="29" t="str">
        <f t="array" aca="1" ref="B35" ca="1">IF($I35="","",INDEX([1]Nhập!$K$11:$K$19999,$I35))</f>
        <v>Súng nước ba lô hình vịt toàn thân</v>
      </c>
      <c r="C35" s="29" t="str">
        <f t="array" aca="1" ref="C35" ca="1">IF($I35="","",INDEX([1]Nhập!$J$11:$J$19999,$I35))</f>
        <v>JWG0020</v>
      </c>
      <c r="D35" s="30" t="str">
        <f t="array" aca="1" ref="D35" ca="1">IF($I35="","",INDEX([1]Nhập!$L$11:$L$19999,$I35))</f>
        <v>Cái</v>
      </c>
      <c r="E35" s="31">
        <f t="array" aca="1" ref="E35" ca="1">IF($I35="","",INDEX([1]Nhập!$M$11:$M$19999,$I35))</f>
        <v>180</v>
      </c>
      <c r="F35" s="31">
        <f t="shared" ca="1" si="1"/>
        <v>180</v>
      </c>
      <c r="G35" s="31">
        <f t="array" aca="1" ref="G35" ca="1">IF($I35="","",INDEX([1]Nhập!$N$11:$N$19999,$I35))</f>
        <v>11108.6325</v>
      </c>
      <c r="H35" s="31">
        <f t="array" aca="1" ref="H35" ca="1">IF($I35="","",INDEX([1]Nhập!$O$11:$O$19999,$I35))</f>
        <v>1999553.8499999999</v>
      </c>
      <c r="I35" s="32">
        <f ca="1">IF(TYPE(MATCH($C$8,OFFSET([1]Nhập!$A$11,I34,0):'[1]Nhập'!$A$20000,0)+I34)=16,"",MATCH($C$8,OFFSET([1]Nhập!$A$11,I34,0):'[1]Nhập'!$A$20000,0)+I34)</f>
        <v>20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8">
        <f t="shared" ca="1" si="0"/>
        <v>21</v>
      </c>
      <c r="B36" s="29" t="str">
        <f t="array" aca="1" ref="B36" ca="1">IF($I36="","",INDEX([1]Nhập!$K$11:$K$19999,$I36))</f>
        <v>Bộ đồ chơi Cầu trượt thang công viên giải trí</v>
      </c>
      <c r="C36" s="29" t="str">
        <f t="array" aca="1" ref="C36" ca="1">IF($I36="","",INDEX([1]Nhập!$J$11:$J$19999,$I36))</f>
        <v>JWG0021</v>
      </c>
      <c r="D36" s="30" t="str">
        <f t="array" aca="1" ref="D36" ca="1">IF($I36="","",INDEX([1]Nhập!$L$11:$L$19999,$I36))</f>
        <v>Cái</v>
      </c>
      <c r="E36" s="31">
        <f t="array" aca="1" ref="E36" ca="1">IF($I36="","",INDEX([1]Nhập!$M$11:$M$19999,$I36))</f>
        <v>144</v>
      </c>
      <c r="F36" s="31">
        <f t="shared" ca="1" si="1"/>
        <v>144</v>
      </c>
      <c r="G36" s="31">
        <f t="array" aca="1" ref="G36" ca="1">IF($I36="","",INDEX([1]Nhập!$N$11:$N$19999,$I36))</f>
        <v>11108.6325</v>
      </c>
      <c r="H36" s="31">
        <f t="array" aca="1" ref="H36" ca="1">IF($I36="","",INDEX([1]Nhập!$O$11:$O$19999,$I36))</f>
        <v>1599643.08</v>
      </c>
      <c r="I36" s="32">
        <f ca="1">IF(TYPE(MATCH($C$8,OFFSET([1]Nhập!$A$11,I35,0):'[1]Nhập'!$A$20000,0)+I35)=16,"",MATCH($C$8,OFFSET([1]Nhập!$A$11,I35,0):'[1]Nhập'!$A$20000,0)+I35)</f>
        <v>21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8">
        <f t="shared" ca="1" si="0"/>
        <v>22</v>
      </c>
      <c r="B37" s="29" t="str">
        <f t="array" aca="1" ref="B37" ca="1">IF($I37="","",INDEX([1]Nhập!$K$11:$K$19999,$I37))</f>
        <v>Ống nhòm</v>
      </c>
      <c r="C37" s="29" t="str">
        <f t="array" aca="1" ref="C37" ca="1">IF($I37="","",INDEX([1]Nhập!$J$11:$J$19999,$I37))</f>
        <v>JWG0022</v>
      </c>
      <c r="D37" s="30" t="str">
        <f t="array" aca="1" ref="D37" ca="1">IF($I37="","",INDEX([1]Nhập!$L$11:$L$19999,$I37))</f>
        <v>Cái</v>
      </c>
      <c r="E37" s="31">
        <f t="array" aca="1" ref="E37" ca="1">IF($I37="","",INDEX([1]Nhập!$M$11:$M$19999,$I37))</f>
        <v>60</v>
      </c>
      <c r="F37" s="31">
        <f t="shared" ca="1" si="1"/>
        <v>60</v>
      </c>
      <c r="G37" s="31">
        <f t="array" aca="1" ref="G37" ca="1">IF($I37="","",INDEX([1]Nhập!$N$11:$N$19999,$I37))</f>
        <v>11108.6325</v>
      </c>
      <c r="H37" s="31">
        <f t="array" aca="1" ref="H37" ca="1">IF($I37="","",INDEX([1]Nhập!$O$11:$O$19999,$I37))</f>
        <v>666517.94999999995</v>
      </c>
      <c r="I37" s="32">
        <f ca="1">IF(TYPE(MATCH($C$8,OFFSET([1]Nhập!$A$11,I36,0):'[1]Nhập'!$A$20000,0)+I36)=16,"",MATCH($C$8,OFFSET([1]Nhập!$A$11,I36,0):'[1]Nhập'!$A$20000,0)+I36)</f>
        <v>22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8">
        <f t="shared" ca="1" si="0"/>
        <v>23</v>
      </c>
      <c r="B38" s="29" t="str">
        <f t="array" aca="1" ref="B38" ca="1">IF($I38="","",INDEX([1]Nhập!$K$11:$K$19999,$I38))</f>
        <v>Bảng bóng rổ trẻ em</v>
      </c>
      <c r="C38" s="29" t="str">
        <f t="array" aca="1" ref="C38" ca="1">IF($I38="","",INDEX([1]Nhập!$J$11:$J$19999,$I38))</f>
        <v>JWG0023</v>
      </c>
      <c r="D38" s="30" t="str">
        <f t="array" aca="1" ref="D38" ca="1">IF($I38="","",INDEX([1]Nhập!$L$11:$L$19999,$I38))</f>
        <v>Cái</v>
      </c>
      <c r="E38" s="31">
        <f t="array" aca="1" ref="E38" ca="1">IF($I38="","",INDEX([1]Nhập!$M$11:$M$19999,$I38))</f>
        <v>96</v>
      </c>
      <c r="F38" s="31">
        <f t="shared" ca="1" si="1"/>
        <v>96</v>
      </c>
      <c r="G38" s="31">
        <f t="array" aca="1" ref="G38" ca="1">IF($I38="","",INDEX([1]Nhập!$N$11:$N$19999,$I38))</f>
        <v>1852.7565</v>
      </c>
      <c r="H38" s="31">
        <f t="array" aca="1" ref="H38" ca="1">IF($I38="","",INDEX([1]Nhập!$O$11:$O$19999,$I38))</f>
        <v>177864.62400000001</v>
      </c>
      <c r="I38" s="32">
        <f ca="1">IF(TYPE(MATCH($C$8,OFFSET([1]Nhập!$A$11,I37,0):'[1]Nhập'!$A$20000,0)+I37)=16,"",MATCH($C$8,OFFSET([1]Nhập!$A$11,I37,0):'[1]Nhập'!$A$20000,0)+I37)</f>
        <v>23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8">
        <f t="shared" ca="1" si="0"/>
        <v>24</v>
      </c>
      <c r="B39" s="29" t="str">
        <f t="array" aca="1" ref="B39" ca="1">IF($I39="","",INDEX([1]Nhập!$K$11:$K$19999,$I39))</f>
        <v>Máy chơi game xếp gạch cầm tay</v>
      </c>
      <c r="C39" s="29" t="str">
        <f t="array" aca="1" ref="C39" ca="1">IF($I39="","",INDEX([1]Nhập!$J$11:$J$19999,$I39))</f>
        <v>JWG0024</v>
      </c>
      <c r="D39" s="30" t="str">
        <f t="array" aca="1" ref="D39" ca="1">IF($I39="","",INDEX([1]Nhập!$L$11:$L$19999,$I39))</f>
        <v>Cái</v>
      </c>
      <c r="E39" s="31">
        <f t="array" aca="1" ref="E39" ca="1">IF($I39="","",INDEX([1]Nhập!$M$11:$M$19999,$I39))</f>
        <v>216</v>
      </c>
      <c r="F39" s="31">
        <f t="shared" ca="1" si="1"/>
        <v>216</v>
      </c>
      <c r="G39" s="31">
        <f t="array" aca="1" ref="G39" ca="1">IF($I39="","",INDEX([1]Nhập!$N$11:$N$19999,$I39))</f>
        <v>7405.7550000000001</v>
      </c>
      <c r="H39" s="31">
        <f t="array" aca="1" ref="H39" ca="1">IF($I39="","",INDEX([1]Nhập!$O$11:$O$19999,$I39))</f>
        <v>1599643.08</v>
      </c>
      <c r="I39" s="32">
        <f ca="1">IF(TYPE(MATCH($C$8,OFFSET([1]Nhập!$A$11,I38,0):'[1]Nhập'!$A$20000,0)+I38)=16,"",MATCH($C$8,OFFSET([1]Nhập!$A$11,I38,0):'[1]Nhập'!$A$20000,0)+I38)</f>
        <v>24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8">
        <f t="shared" ca="1" si="0"/>
        <v>25</v>
      </c>
      <c r="B40" s="29" t="str">
        <f t="array" aca="1" ref="B40" ca="1">IF($I40="","",INDEX([1]Nhập!$K$11:$K$19999,$I40))</f>
        <v>Đĩa (hình) Bánh gạo nếp</v>
      </c>
      <c r="C40" s="29" t="str">
        <f t="array" aca="1" ref="C40" ca="1">IF($I40="","",INDEX([1]Nhập!$J$11:$J$19999,$I40))</f>
        <v>JWG0025</v>
      </c>
      <c r="D40" s="30" t="str">
        <f t="array" aca="1" ref="D40" ca="1">IF($I40="","",INDEX([1]Nhập!$L$11:$L$19999,$I40))</f>
        <v>Cái</v>
      </c>
      <c r="E40" s="31">
        <f t="array" aca="1" ref="E40" ca="1">IF($I40="","",INDEX([1]Nhập!$M$11:$M$19999,$I40))</f>
        <v>288</v>
      </c>
      <c r="F40" s="31">
        <f t="shared" ca="1" si="1"/>
        <v>288</v>
      </c>
      <c r="G40" s="31">
        <f t="array" aca="1" ref="G40" ca="1">IF($I40="","",INDEX([1]Nhập!$N$11:$N$19999,$I40))</f>
        <v>9258.5115000000005</v>
      </c>
      <c r="H40" s="31">
        <f t="array" aca="1" ref="H40" ca="1">IF($I40="","",INDEX([1]Nhập!$O$11:$O$19999,$I40))</f>
        <v>2666451.3119999999</v>
      </c>
      <c r="I40" s="32">
        <f ca="1">IF(TYPE(MATCH($C$8,OFFSET([1]Nhập!$A$11,I39,0):'[1]Nhập'!$A$20000,0)+I39)=16,"",MATCH($C$8,OFFSET([1]Nhập!$A$11,I39,0):'[1]Nhập'!$A$20000,0)+I39)</f>
        <v>25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8">
        <f t="shared" ca="1" si="0"/>
        <v>26</v>
      </c>
      <c r="B41" s="29" t="str">
        <f t="array" aca="1" ref="B41" ca="1">IF($I41="","",INDEX([1]Nhập!$K$11:$K$19999,$I41))</f>
        <v>Đồ chơi câu cá bằng điện</v>
      </c>
      <c r="C41" s="29" t="str">
        <f t="array" aca="1" ref="C41" ca="1">IF($I41="","",INDEX([1]Nhập!$J$11:$J$19999,$I41))</f>
        <v>JWG0026</v>
      </c>
      <c r="D41" s="30" t="str">
        <f t="array" aca="1" ref="D41" ca="1">IF($I41="","",INDEX([1]Nhập!$L$11:$L$19999,$I41))</f>
        <v>Cái</v>
      </c>
      <c r="E41" s="31">
        <f t="array" aca="1" ref="E41" ca="1">IF($I41="","",INDEX([1]Nhập!$M$11:$M$19999,$I41))</f>
        <v>192</v>
      </c>
      <c r="F41" s="31">
        <f t="shared" ca="1" si="1"/>
        <v>192</v>
      </c>
      <c r="G41" s="31">
        <f t="array" aca="1" ref="G41" ca="1">IF($I41="","",INDEX([1]Nhập!$N$11:$N$19999,$I41))</f>
        <v>11108.6325</v>
      </c>
      <c r="H41" s="31">
        <f t="array" aca="1" ref="H41" ca="1">IF($I41="","",INDEX([1]Nhập!$O$11:$O$19999,$I41))</f>
        <v>2132857.44</v>
      </c>
      <c r="I41" s="32">
        <f ca="1">IF(TYPE(MATCH($C$8,OFFSET([1]Nhập!$A$11,I40,0):'[1]Nhập'!$A$20000,0)+I40)=16,"",MATCH($C$8,OFFSET([1]Nhập!$A$11,I40,0):'[1]Nhập'!$A$20000,0)+I40)</f>
        <v>26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8">
        <f t="shared" ca="1" si="0"/>
        <v>27</v>
      </c>
      <c r="B42" s="29" t="str">
        <f t="array" aca="1" ref="B42" ca="1">IF($I42="","",INDEX([1]Nhập!$K$11:$K$19999,$I42))</f>
        <v>Máy ảnh bong bóng cầm tay bằng điện</v>
      </c>
      <c r="C42" s="29" t="str">
        <f t="array" aca="1" ref="C42" ca="1">IF($I42="","",INDEX([1]Nhập!$J$11:$J$19999,$I42))</f>
        <v>JWG0027</v>
      </c>
      <c r="D42" s="30" t="str">
        <f t="array" aca="1" ref="D42" ca="1">IF($I42="","",INDEX([1]Nhập!$L$11:$L$19999,$I42))</f>
        <v>Cái</v>
      </c>
      <c r="E42" s="31">
        <f t="array" aca="1" ref="E42" ca="1">IF($I42="","",INDEX([1]Nhập!$M$11:$M$19999,$I42))</f>
        <v>216</v>
      </c>
      <c r="F42" s="31">
        <f t="shared" ca="1" si="1"/>
        <v>216</v>
      </c>
      <c r="G42" s="31">
        <f t="array" aca="1" ref="G42" ca="1">IF($I42="","",INDEX([1]Nhập!$N$11:$N$19999,$I42))</f>
        <v>7405.7550000000001</v>
      </c>
      <c r="H42" s="31">
        <f t="array" aca="1" ref="H42" ca="1">IF($I42="","",INDEX([1]Nhập!$O$11:$O$19999,$I42))</f>
        <v>1599643.08</v>
      </c>
      <c r="I42" s="32">
        <f ca="1">IF(TYPE(MATCH($C$8,OFFSET([1]Nhập!$A$11,I41,0):'[1]Nhập'!$A$20000,0)+I41)=16,"",MATCH($C$8,OFFSET([1]Nhập!$A$11,I41,0):'[1]Nhập'!$A$20000,0)+I41)</f>
        <v>27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8">
        <f t="shared" ca="1" si="0"/>
        <v>28</v>
      </c>
      <c r="B43" s="29" t="str">
        <f t="array" aca="1" ref="B43" ca="1">IF($I43="","",INDEX([1]Nhập!$K$11:$K$19999,$I43))</f>
        <v>Móc khóa xả stress bóp bong bóng</v>
      </c>
      <c r="C43" s="29" t="str">
        <f t="array" aca="1" ref="C43" ca="1">IF($I43="","",INDEX([1]Nhập!$J$11:$J$19999,$I43))</f>
        <v>JWG0028</v>
      </c>
      <c r="D43" s="30" t="str">
        <f t="array" aca="1" ref="D43" ca="1">IF($I43="","",INDEX([1]Nhập!$L$11:$L$19999,$I43))</f>
        <v>Cái</v>
      </c>
      <c r="E43" s="31">
        <f t="array" aca="1" ref="E43" ca="1">IF($I43="","",INDEX([1]Nhập!$M$11:$M$19999,$I43))</f>
        <v>192</v>
      </c>
      <c r="F43" s="31">
        <f t="shared" ca="1" si="1"/>
        <v>192</v>
      </c>
      <c r="G43" s="31">
        <f t="array" aca="1" ref="G43" ca="1">IF($I43="","",INDEX([1]Nhập!$N$11:$N$19999,$I43))</f>
        <v>7405.7550000000001</v>
      </c>
      <c r="H43" s="31">
        <f t="array" aca="1" ref="H43" ca="1">IF($I43="","",INDEX([1]Nhập!$O$11:$O$19999,$I43))</f>
        <v>1421904.96</v>
      </c>
      <c r="I43" s="32">
        <f ca="1">IF(TYPE(MATCH($C$8,OFFSET([1]Nhập!$A$11,I42,0):'[1]Nhập'!$A$20000,0)+I42)=16,"",MATCH($C$8,OFFSET([1]Nhập!$A$11,I42,0):'[1]Nhập'!$A$20000,0)+I42)</f>
        <v>28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8">
        <f t="shared" ca="1" si="0"/>
        <v>29</v>
      </c>
      <c r="B44" s="29" t="str">
        <f t="array" aca="1" ref="B44" ca="1">IF($I44="","",INDEX([1]Nhập!$K$11:$K$19999,$I44))</f>
        <v>Đồ chơi gõ nhạc vui nhộn</v>
      </c>
      <c r="C44" s="29" t="str">
        <f t="array" aca="1" ref="C44" ca="1">IF($I44="","",INDEX([1]Nhập!$J$11:$J$19999,$I44))</f>
        <v>JWG0029</v>
      </c>
      <c r="D44" s="30" t="str">
        <f t="array" aca="1" ref="D44" ca="1">IF($I44="","",INDEX([1]Nhập!$L$11:$L$19999,$I44))</f>
        <v>Cái</v>
      </c>
      <c r="E44" s="31">
        <f t="array" aca="1" ref="E44" ca="1">IF($I44="","",INDEX([1]Nhập!$M$11:$M$19999,$I44))</f>
        <v>192</v>
      </c>
      <c r="F44" s="31">
        <f t="shared" ca="1" si="1"/>
        <v>192</v>
      </c>
      <c r="G44" s="31">
        <f t="array" aca="1" ref="G44" ca="1">IF($I44="","",INDEX([1]Nhập!$N$11:$N$19999,$I44))</f>
        <v>7405.7550000000001</v>
      </c>
      <c r="H44" s="31">
        <f t="array" aca="1" ref="H44" ca="1">IF($I44="","",INDEX([1]Nhập!$O$11:$O$19999,$I44))</f>
        <v>1421904.96</v>
      </c>
      <c r="I44" s="32">
        <f ca="1">IF(TYPE(MATCH($C$8,OFFSET([1]Nhập!$A$11,I43,0):'[1]Nhập'!$A$20000,0)+I43)=16,"",MATCH($C$8,OFFSET([1]Nhập!$A$11,I43,0):'[1]Nhập'!$A$20000,0)+I43)</f>
        <v>29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8">
        <f t="shared" ca="1" si="0"/>
        <v>30</v>
      </c>
      <c r="B45" s="29" t="str">
        <f t="array" aca="1" ref="B45" ca="1">IF($I45="","",INDEX([1]Nhập!$K$11:$K$19999,$I45))</f>
        <v>Que thổi bong bóng kẹo ngọt</v>
      </c>
      <c r="C45" s="29" t="str">
        <f t="array" aca="1" ref="C45" ca="1">IF($I45="","",INDEX([1]Nhập!$J$11:$J$19999,$I45))</f>
        <v>JWG0030</v>
      </c>
      <c r="D45" s="30" t="str">
        <f t="array" aca="1" ref="D45" ca="1">IF($I45="","",INDEX([1]Nhập!$L$11:$L$19999,$I45))</f>
        <v>Cái</v>
      </c>
      <c r="E45" s="31">
        <f t="array" aca="1" ref="E45" ca="1">IF($I45="","",INDEX([1]Nhập!$M$11:$M$19999,$I45))</f>
        <v>288</v>
      </c>
      <c r="F45" s="31">
        <f t="shared" ca="1" si="1"/>
        <v>288</v>
      </c>
      <c r="G45" s="31">
        <f t="array" aca="1" ref="G45" ca="1">IF($I45="","",INDEX([1]Nhập!$N$11:$N$19999,$I45))</f>
        <v>1852.7565</v>
      </c>
      <c r="H45" s="31">
        <f t="array" aca="1" ref="H45" ca="1">IF($I45="","",INDEX([1]Nhập!$O$11:$O$19999,$I45))</f>
        <v>533593.87199999997</v>
      </c>
      <c r="I45" s="32">
        <f ca="1">IF(TYPE(MATCH($C$8,OFFSET([1]Nhập!$A$11,I44,0):'[1]Nhập'!$A$20000,0)+I44)=16,"",MATCH($C$8,OFFSET([1]Nhập!$A$11,I44,0):'[1]Nhập'!$A$20000,0)+I44)</f>
        <v>30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8">
        <f t="shared" ca="1" si="0"/>
        <v>31</v>
      </c>
      <c r="B46" s="29" t="str">
        <f t="array" aca="1" ref="B46" ca="1">IF($I46="","",INDEX([1]Nhập!$K$11:$K$19999,$I46))</f>
        <v>Vịt vàng huýt sáo</v>
      </c>
      <c r="C46" s="29" t="str">
        <f ca="1">IF($I46="","",INDEX([1]Nhập!$J$11:$J$19999,$I46))</f>
        <v>JWG0031</v>
      </c>
      <c r="D46" s="30" t="str">
        <f t="array" aca="1" ref="D46" ca="1">IF($I46="","",INDEX([1]Nhập!$L$11:$L$19999,$I46))</f>
        <v>Cái</v>
      </c>
      <c r="E46" s="31">
        <f t="array" aca="1" ref="E46" ca="1">IF($I46="","",INDEX([1]Nhập!$M$11:$M$19999,$I46))</f>
        <v>320</v>
      </c>
      <c r="F46" s="31">
        <f t="shared" ca="1" si="1"/>
        <v>320</v>
      </c>
      <c r="G46" s="31">
        <f t="array" aca="1" ref="G46" ca="1">IF($I46="","",INDEX([1]Nhập!$N$11:$N$19999,$I46))</f>
        <v>1852.7565</v>
      </c>
      <c r="H46" s="31">
        <f t="array" aca="1" ref="H46" ca="1">IF($I46="","",INDEX([1]Nhập!$O$11:$O$19999,$I46))</f>
        <v>592882.07999999996</v>
      </c>
      <c r="I46" s="32">
        <f ca="1">IF(TYPE(MATCH($C$8,OFFSET([1]Nhập!$A$11,I45,0):'[1]Nhập'!$A$20000,0)+I45)=16,"",MATCH($C$8,OFFSET([1]Nhập!$A$11,I45,0):'[1]Nhập'!$A$20000,0)+I45)</f>
        <v>31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8">
        <f t="shared" ca="1" si="0"/>
        <v>32</v>
      </c>
      <c r="B47" s="29" t="str">
        <f t="array" aca="1" ref="B47" ca="1">IF($I47="","",INDEX([1]Nhập!$K$11:$K$19999,$I47))</f>
        <v>Đồ treo xe hơi B. Duck chính hãng series Buffy Friends - Kiểu Thỏ con</v>
      </c>
      <c r="C47" s="29" t="str">
        <f t="array" aca="1" ref="C47" ca="1">IF($I47="","",INDEX([1]Nhập!$J$11:$J$19999,$I47))</f>
        <v>JWG0032</v>
      </c>
      <c r="D47" s="30" t="str">
        <f t="array" aca="1" ref="D47" ca="1">IF($I47="","",INDEX([1]Nhập!$L$11:$L$19999,$I47))</f>
        <v>Cái</v>
      </c>
      <c r="E47" s="31">
        <f t="array" aca="1" ref="E47" ca="1">IF($I47="","",INDEX([1]Nhập!$M$11:$M$19999,$I47))</f>
        <v>100</v>
      </c>
      <c r="F47" s="31">
        <f t="shared" ca="1" si="1"/>
        <v>100</v>
      </c>
      <c r="G47" s="31">
        <f t="array" aca="1" ref="G47" ca="1">IF($I47="","",INDEX([1]Nhập!$N$11:$N$19999,$I47))</f>
        <v>2962.3020000000001</v>
      </c>
      <c r="H47" s="31">
        <f t="array" aca="1" ref="H47" ca="1">IF($I47="","",INDEX([1]Nhập!$O$11:$O$19999,$I47))</f>
        <v>296230.2</v>
      </c>
      <c r="I47" s="32">
        <f ca="1">IF(TYPE(MATCH($C$8,OFFSET([1]Nhập!$A$11,I46,0):'[1]Nhập'!$A$20000,0)+I46)=16,"",MATCH($C$8,OFFSET([1]Nhập!$A$11,I46,0):'[1]Nhập'!$A$20000,0)+I46)</f>
        <v>32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8">
        <f t="shared" ca="1" si="0"/>
        <v>33</v>
      </c>
      <c r="B48" s="29" t="str">
        <f t="array" aca="1" ref="B48" ca="1">IF($I48="","",INDEX([1]Nhập!$K$11:$K$19999,$I48))</f>
        <v>Đồ treo xe hơi B. Duck chính hãng series Buffy Friends - Kiểu Gấu con</v>
      </c>
      <c r="C48" s="29" t="str">
        <f t="array" aca="1" ref="C48" ca="1">IF($I48="","",INDEX([1]Nhập!$J$11:$J$19999,$I48))</f>
        <v>JWG0033</v>
      </c>
      <c r="D48" s="30" t="str">
        <f t="array" aca="1" ref="D48" ca="1">IF($I48="","",INDEX([1]Nhập!$L$11:$L$19999,$I48))</f>
        <v>Cái</v>
      </c>
      <c r="E48" s="31">
        <f t="array" aca="1" ref="E48" ca="1">IF($I48="","",INDEX([1]Nhập!$M$11:$M$19999,$I48))</f>
        <v>100</v>
      </c>
      <c r="F48" s="31">
        <f t="shared" ca="1" si="1"/>
        <v>100</v>
      </c>
      <c r="G48" s="31">
        <f t="array" aca="1" ref="G48" ca="1">IF($I48="","",INDEX([1]Nhập!$N$11:$N$19999,$I48))</f>
        <v>2962.3020000000001</v>
      </c>
      <c r="H48" s="31">
        <f t="array" aca="1" ref="H48" ca="1">IF($I48="","",INDEX([1]Nhập!$O$11:$O$19999,$I48))</f>
        <v>296230.2</v>
      </c>
      <c r="I48" s="32">
        <f ca="1">IF(TYPE(MATCH($C$8,OFFSET([1]Nhập!$A$11,I47,0):'[1]Nhập'!$A$20000,0)+I47)=16,"",MATCH($C$8,OFFSET([1]Nhập!$A$11,I47,0):'[1]Nhập'!$A$20000,0)+I47)</f>
        <v>33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8">
        <f t="shared" ca="1" si="0"/>
        <v>34</v>
      </c>
      <c r="B49" s="29" t="str">
        <f t="array" aca="1" ref="B49" ca="1">IF($I49="","",INDEX([1]Nhập!$K$11:$K$19999,$I49))</f>
        <v xml:space="preserve">Trò Chơi Cờ Vua Bốn Trong Một
</v>
      </c>
      <c r="C49" s="29" t="str">
        <f t="array" aca="1" ref="C49" ca="1">IF($I49="","",INDEX([1]Nhập!$J$11:$J$19999,$I49))</f>
        <v>JWG0034</v>
      </c>
      <c r="D49" s="30" t="str">
        <f t="array" aca="1" ref="D49" ca="1">IF($I49="","",INDEX([1]Nhập!$L$11:$L$19999,$I49))</f>
        <v>Cái</v>
      </c>
      <c r="E49" s="31">
        <f t="array" aca="1" ref="E49" ca="1">IF($I49="","",INDEX([1]Nhập!$M$11:$M$19999,$I49))</f>
        <v>96</v>
      </c>
      <c r="F49" s="31">
        <f t="shared" ca="1" si="1"/>
        <v>96</v>
      </c>
      <c r="G49" s="31">
        <f t="array" aca="1" ref="G49" ca="1">IF($I49="","",INDEX([1]Nhập!$N$11:$N$19999,$I49))</f>
        <v>5555.634</v>
      </c>
      <c r="H49" s="31">
        <f t="array" aca="1" ref="H49" ca="1">IF($I49="","",INDEX([1]Nhập!$O$11:$O$19999,$I49))</f>
        <v>533340.86400000006</v>
      </c>
      <c r="I49" s="32">
        <f ca="1">IF(TYPE(MATCH($C$8,OFFSET([1]Nhập!$A$11,I48,0):'[1]Nhập'!$A$20000,0)+I48)=16,"",MATCH($C$8,OFFSET([1]Nhập!$A$11,I48,0):'[1]Nhập'!$A$20000,0)+I48)</f>
        <v>34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8">
        <f t="shared" ca="1" si="0"/>
        <v>35</v>
      </c>
      <c r="B50" s="29" t="str">
        <f t="array" aca="1" ref="B50" ca="1">IF($I50="","",INDEX([1]Nhập!$K$11:$K$19999,$I50))</f>
        <v>Đồ treo xe hơi B. Duck chính hãng series Buffy Friends - Phiên bản Gấu trúc</v>
      </c>
      <c r="C50" s="29" t="str">
        <f t="array" aca="1" ref="C50" ca="1">IF($I50="","",INDEX([1]Nhập!$J$11:$J$19999,$I50))</f>
        <v>JWG0035</v>
      </c>
      <c r="D50" s="30" t="str">
        <f t="array" aca="1" ref="D50" ca="1">IF($I50="","",INDEX([1]Nhập!$L$11:$L$19999,$I50))</f>
        <v>Cái</v>
      </c>
      <c r="E50" s="31">
        <f t="array" aca="1" ref="E50" ca="1">IF($I50="","",INDEX([1]Nhập!$M$11:$M$19999,$I50))</f>
        <v>100</v>
      </c>
      <c r="F50" s="31">
        <f t="shared" ca="1" si="1"/>
        <v>100</v>
      </c>
      <c r="G50" s="31">
        <f t="array" aca="1" ref="G50" ca="1">IF($I50="","",INDEX([1]Nhập!$N$11:$N$19999,$I50))</f>
        <v>3702.8775000000001</v>
      </c>
      <c r="H50" s="31">
        <f t="array" aca="1" ref="H50" ca="1">IF($I50="","",INDEX([1]Nhập!$O$11:$O$19999,$I50))</f>
        <v>370287.75</v>
      </c>
      <c r="I50" s="32">
        <f ca="1">IF(TYPE(MATCH($C$8,OFFSET([1]Nhập!$A$11,I49,0):'[1]Nhập'!$A$20000,0)+I49)=16,"",MATCH($C$8,OFFSET([1]Nhập!$A$11,I49,0):'[1]Nhập'!$A$20000,0)+I49)</f>
        <v>35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8">
        <f t="shared" ca="1" si="0"/>
        <v>36</v>
      </c>
      <c r="B51" s="29" t="str">
        <f t="array" aca="1" ref="B51" ca="1">IF($I51="","",INDEX([1]Nhập!$K$11:$K$19999,$I51))</f>
        <v>Súng nước thuyền kayak chuối</v>
      </c>
      <c r="C51" s="29" t="str">
        <f t="array" aca="1" ref="C51" ca="1">IF($I51="","",INDEX([1]Nhập!$J$11:$J$19999,$I51))</f>
        <v>JWG0036</v>
      </c>
      <c r="D51" s="30" t="str">
        <f t="array" aca="1" ref="D51" ca="1">IF($I51="","",INDEX([1]Nhập!$L$11:$L$19999,$I51))</f>
        <v>Cái</v>
      </c>
      <c r="E51" s="31">
        <f t="array" aca="1" ref="E51" ca="1">IF($I51="","",INDEX([1]Nhập!$M$11:$M$19999,$I51))</f>
        <v>432</v>
      </c>
      <c r="F51" s="31">
        <f t="shared" ca="1" si="1"/>
        <v>432</v>
      </c>
      <c r="G51" s="31">
        <f t="array" aca="1" ref="G51" ca="1">IF($I51="","",INDEX([1]Nhập!$N$11:$N$19999,$I51))</f>
        <v>1852.7565</v>
      </c>
      <c r="H51" s="31">
        <f t="array" aca="1" ref="H51" ca="1">IF($I51="","",INDEX([1]Nhập!$O$11:$O$19999,$I51))</f>
        <v>800390.80799999996</v>
      </c>
      <c r="I51" s="32">
        <f ca="1">IF(TYPE(MATCH($C$8,OFFSET([1]Nhập!$A$11,I50,0):'[1]Nhập'!$A$20000,0)+I50)=16,"",MATCH($C$8,OFFSET([1]Nhập!$A$11,I50,0):'[1]Nhập'!$A$20000,0)+I50)</f>
        <v>36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8">
        <f t="shared" ca="1" si="0"/>
        <v>37</v>
      </c>
      <c r="B52" s="29" t="str">
        <f t="array" aca="1" ref="B52" ca="1">IF($I52="","",INDEX([1]Nhập!$K$11:$K$19999,$I52))</f>
        <v>Đồng hồ điện tử chiếu hình</v>
      </c>
      <c r="C52" s="29" t="str">
        <f t="array" aca="1" ref="C52" ca="1">IF($I52="","",INDEX([1]Nhập!$J$11:$J$19999,$I52))</f>
        <v>JWG0037</v>
      </c>
      <c r="D52" s="30" t="str">
        <f t="array" aca="1" ref="D52" ca="1">IF($I52="","",INDEX([1]Nhập!$L$11:$L$19999,$I52))</f>
        <v>Cái</v>
      </c>
      <c r="E52" s="31">
        <f t="array" aca="1" ref="E52" ca="1">IF($I52="","",INDEX([1]Nhập!$M$11:$M$19999,$I52))</f>
        <v>100</v>
      </c>
      <c r="F52" s="31">
        <f t="shared" ca="1" si="1"/>
        <v>100</v>
      </c>
      <c r="G52" s="31">
        <f t="array" aca="1" ref="G52" ca="1">IF($I52="","",INDEX([1]Nhập!$N$11:$N$19999,$I52))</f>
        <v>2962.3020000000001</v>
      </c>
      <c r="H52" s="31">
        <f t="array" aca="1" ref="H52" ca="1">IF($I52="","",INDEX([1]Nhập!$O$11:$O$19999,$I52))</f>
        <v>296230.2</v>
      </c>
      <c r="I52" s="32">
        <f ca="1">IF(TYPE(MATCH($C$8,OFFSET([1]Nhập!$A$11,I51,0):'[1]Nhập'!$A$20000,0)+I51)=16,"",MATCH($C$8,OFFSET([1]Nhập!$A$11,I51,0):'[1]Nhập'!$A$20000,0)+I51)</f>
        <v>37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8">
        <f t="shared" ca="1" si="0"/>
        <v>38</v>
      </c>
      <c r="B53" s="29" t="str">
        <f t="array" aca="1" ref="B53" ca="1">IF($I53="","",INDEX([1]Nhập!$K$11:$K$19999,$I53))</f>
        <v>Đồ treo xe hơi B. Duck chính hãng series Buffy Friends - Phiên bản Tàu hỏa</v>
      </c>
      <c r="C53" s="29" t="str">
        <f t="array" aca="1" ref="C53" ca="1">IF($I53="","",INDEX([1]Nhập!$J$11:$J$19999,$I53))</f>
        <v>JWG0038</v>
      </c>
      <c r="D53" s="30" t="str">
        <f t="array" aca="1" ref="D53" ca="1">IF($I53="","",INDEX([1]Nhập!$L$11:$L$19999,$I53))</f>
        <v>Cái</v>
      </c>
      <c r="E53" s="31">
        <f t="array" aca="1" ref="E53" ca="1">IF($I53="","",INDEX([1]Nhập!$M$11:$M$19999,$I53))</f>
        <v>100</v>
      </c>
      <c r="F53" s="31">
        <f t="shared" ca="1" si="1"/>
        <v>100</v>
      </c>
      <c r="G53" s="31">
        <f t="array" aca="1" ref="G53" ca="1">IF($I53="","",INDEX([1]Nhập!$N$11:$N$19999,$I53))</f>
        <v>2962.3020000000001</v>
      </c>
      <c r="H53" s="31">
        <f t="array" aca="1" ref="H53" ca="1">IF($I53="","",INDEX([1]Nhập!$O$11:$O$19999,$I53))</f>
        <v>296230.2</v>
      </c>
      <c r="I53" s="32">
        <f ca="1">IF(TYPE(MATCH($C$8,OFFSET([1]Nhập!$A$11,I52,0):'[1]Nhập'!$A$20000,0)+I52)=16,"",MATCH($C$8,OFFSET([1]Nhập!$A$11,I52,0):'[1]Nhập'!$A$20000,0)+I52)</f>
        <v>38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8">
        <f t="shared" ca="1" si="0"/>
        <v>39</v>
      </c>
      <c r="B54" s="29" t="str">
        <f t="array" aca="1" ref="B54" ca="1">IF($I54="","",INDEX([1]Nhập!$K$11:$K$19999,$I54))</f>
        <v>Trò chơi cờ 2 trong 1</v>
      </c>
      <c r="C54" s="29" t="str">
        <f t="array" aca="1" ref="C54" ca="1">IF($I54="","",INDEX([1]Nhập!$J$11:$J$19999,$I54))</f>
        <v>JWG0039</v>
      </c>
      <c r="D54" s="30" t="str">
        <f t="array" aca="1" ref="D54" ca="1">IF($I54="","",INDEX([1]Nhập!$L$11:$L$19999,$I54))</f>
        <v>Cái</v>
      </c>
      <c r="E54" s="31">
        <f t="array" aca="1" ref="E54" ca="1">IF($I54="","",INDEX([1]Nhập!$M$11:$M$19999,$I54))</f>
        <v>192</v>
      </c>
      <c r="F54" s="31">
        <f t="shared" ca="1" si="1"/>
        <v>192</v>
      </c>
      <c r="G54" s="31">
        <f t="array" aca="1" ref="G54" ca="1">IF($I54="","",INDEX([1]Nhập!$N$11:$N$19999,$I54))</f>
        <v>3702.8775000000001</v>
      </c>
      <c r="H54" s="31">
        <f t="array" aca="1" ref="H54" ca="1">IF($I54="","",INDEX([1]Nhập!$O$11:$O$19999,$I54))</f>
        <v>710952.48</v>
      </c>
      <c r="I54" s="32">
        <f ca="1">IF(TYPE(MATCH($C$8,OFFSET([1]Nhập!$A$11,I53,0):'[1]Nhập'!$A$20000,0)+I53)=16,"",MATCH($C$8,OFFSET([1]Nhập!$A$11,I53,0):'[1]Nhập'!$A$20000,0)+I53)</f>
        <v>39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8">
        <f t="shared" ca="1" si="0"/>
        <v>40</v>
      </c>
      <c r="B55" s="29" t="str">
        <f t="array" aca="1" ref="B55" ca="1">IF($I55="","",INDEX([1]Nhập!$K$11:$K$19999,$I55))</f>
        <v>Đồ treo xe hơi B. Duck chính hãng series Buffy Friends - Kiểu Ếch</v>
      </c>
      <c r="C55" s="29" t="str">
        <f t="array" aca="1" ref="C55" ca="1">IF($I55="","",INDEX([1]Nhập!$J$11:$J$19999,$I55))</f>
        <v>JWG0040</v>
      </c>
      <c r="D55" s="30" t="str">
        <f t="array" aca="1" ref="D55" ca="1">IF($I55="","",INDEX([1]Nhập!$L$11:$L$19999,$I55))</f>
        <v>Cái</v>
      </c>
      <c r="E55" s="31">
        <f t="array" aca="1" ref="E55" ca="1">IF($I55="","",INDEX([1]Nhập!$M$11:$M$19999,$I55))</f>
        <v>100</v>
      </c>
      <c r="F55" s="31">
        <f t="shared" ca="1" si="1"/>
        <v>100</v>
      </c>
      <c r="G55" s="31">
        <f t="array" aca="1" ref="G55" ca="1">IF($I55="","",INDEX([1]Nhập!$N$11:$N$19999,$I55))</f>
        <v>2962.3020000000001</v>
      </c>
      <c r="H55" s="31">
        <f t="array" aca="1" ref="H55" ca="1">IF($I55="","",INDEX([1]Nhập!$O$11:$O$19999,$I55))</f>
        <v>296230.2</v>
      </c>
      <c r="I55" s="32">
        <f ca="1">IF(TYPE(MATCH($C$8,OFFSET([1]Nhập!$A$11,I54,0):'[1]Nhập'!$A$20000,0)+I54)=16,"",MATCH($C$8,OFFSET([1]Nhập!$A$11,I54,0):'[1]Nhập'!$A$20000,0)+I54)</f>
        <v>40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8">
        <f t="shared" ca="1" si="0"/>
        <v>41</v>
      </c>
      <c r="B56" s="29" t="str">
        <f t="array" aca="1" ref="B56" ca="1">IF($I56="","",INDEX([1]Nhập!$K$11:$K$19999,$I56))</f>
        <v>B. Duck chính hãng series Họa sĩ Vịt Vàng - Bút chì sáp</v>
      </c>
      <c r="C56" s="29" t="str">
        <f t="array" aca="1" ref="C56" ca="1">IF($I56="","",INDEX([1]Nhập!$J$11:$J$19999,$I56))</f>
        <v>JWG0041</v>
      </c>
      <c r="D56" s="30" t="str">
        <f t="array" aca="1" ref="D56" ca="1">IF($I56="","",INDEX([1]Nhập!$L$11:$L$19999,$I56))</f>
        <v>Cái</v>
      </c>
      <c r="E56" s="31">
        <f t="array" aca="1" ref="E56" ca="1">IF($I56="","",INDEX([1]Nhập!$M$11:$M$19999,$I56))</f>
        <v>100</v>
      </c>
      <c r="F56" s="31">
        <f t="shared" ca="1" si="1"/>
        <v>100</v>
      </c>
      <c r="G56" s="31">
        <f t="array" aca="1" ref="G56" ca="1">IF($I56="","",INDEX([1]Nhập!$N$11:$N$19999,$I56))</f>
        <v>2962.3020000000001</v>
      </c>
      <c r="H56" s="31">
        <f t="array" aca="1" ref="H56" ca="1">IF($I56="","",INDEX([1]Nhập!$O$11:$O$19999,$I56))</f>
        <v>296230.2</v>
      </c>
      <c r="I56" s="32">
        <f ca="1">IF(TYPE(MATCH($C$8,OFFSET([1]Nhập!$A$11,I55,0):'[1]Nhập'!$A$20000,0)+I55)=16,"",MATCH($C$8,OFFSET([1]Nhập!$A$11,I55,0):'[1]Nhập'!$A$20000,0)+I55)</f>
        <v>41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8">
        <f t="shared" ca="1" si="0"/>
        <v>42</v>
      </c>
      <c r="B57" s="29" t="str">
        <f t="array" aca="1" ref="B57" ca="1">IF($I57="","",INDEX([1]Nhập!$K$11:$K$19999,$I57))</f>
        <v>Mặt dây chuyền móc khóa B. Duck</v>
      </c>
      <c r="C57" s="29" t="str">
        <f t="array" aca="1" ref="C57" ca="1">IF($I57="","",INDEX([1]Nhập!$J$11:$J$19999,$I57))</f>
        <v>JWG0042</v>
      </c>
      <c r="D57" s="30" t="str">
        <f t="array" aca="1" ref="D57" ca="1">IF($I57="","",INDEX([1]Nhập!$L$11:$L$19999,$I57))</f>
        <v>Cái</v>
      </c>
      <c r="E57" s="31">
        <f t="array" aca="1" ref="E57" ca="1">IF($I57="","",INDEX([1]Nhập!$M$11:$M$19999,$I57))</f>
        <v>100</v>
      </c>
      <c r="F57" s="31">
        <f t="shared" ca="1" si="1"/>
        <v>100</v>
      </c>
      <c r="G57" s="31">
        <f t="array" aca="1" ref="G57" ca="1">IF($I57="","",INDEX([1]Nhập!$N$11:$N$19999,$I57))</f>
        <v>2962.3020000000001</v>
      </c>
      <c r="H57" s="31">
        <f t="array" aca="1" ref="H57" ca="1">IF($I57="","",INDEX([1]Nhập!$O$11:$O$19999,$I57))</f>
        <v>296230.2</v>
      </c>
      <c r="I57" s="32">
        <f ca="1">IF(TYPE(MATCH($C$8,OFFSET([1]Nhập!$A$11,I56,0):'[1]Nhập'!$A$20000,0)+I56)=16,"",MATCH($C$8,OFFSET([1]Nhập!$A$11,I56,0):'[1]Nhập'!$A$20000,0)+I56)</f>
        <v>42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8">
        <f t="shared" ca="1" si="0"/>
        <v>43</v>
      </c>
      <c r="B58" s="29" t="str">
        <f t="array" aca="1" ref="B58" ca="1">IF($I58="","",INDEX([1]Nhập!$K$11:$K$19999,$I58))</f>
        <v>Mặt dây chuyền B. Duck chính hãng kiểu khắc gỗ - Vịt Nằm Kiếm Tiền (Lying Down to Make Money)</v>
      </c>
      <c r="C58" s="29" t="str">
        <f t="array" aca="1" ref="C58" ca="1">IF($I58="","",INDEX([1]Nhập!$J$11:$J$19999,$I58))</f>
        <v>JWG0043</v>
      </c>
      <c r="D58" s="30" t="str">
        <f t="array" aca="1" ref="D58" ca="1">IF($I58="","",INDEX([1]Nhập!$L$11:$L$19999,$I58))</f>
        <v>Cái</v>
      </c>
      <c r="E58" s="31">
        <f t="array" aca="1" ref="E58" ca="1">IF($I58="","",INDEX([1]Nhập!$M$11:$M$19999,$I58))</f>
        <v>100</v>
      </c>
      <c r="F58" s="31">
        <f t="shared" ca="1" si="1"/>
        <v>100</v>
      </c>
      <c r="G58" s="31">
        <f t="array" aca="1" ref="G58" ca="1">IF($I58="","",INDEX([1]Nhập!$N$11:$N$19999,$I58))</f>
        <v>2962.3020000000001</v>
      </c>
      <c r="H58" s="31">
        <f t="array" aca="1" ref="H58" ca="1">IF($I58="","",INDEX([1]Nhập!$O$11:$O$19999,$I58))</f>
        <v>296230.2</v>
      </c>
      <c r="I58" s="32">
        <f ca="1">IF(TYPE(MATCH($C$8,OFFSET([1]Nhập!$A$11,I57,0):'[1]Nhập'!$A$20000,0)+I57)=16,"",MATCH($C$8,OFFSET([1]Nhập!$A$11,I57,0):'[1]Nhập'!$A$20000,0)+I57)</f>
        <v>43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8">
        <f t="shared" ca="1" si="0"/>
        <v>44</v>
      </c>
      <c r="B59" s="29" t="str">
        <f t="array" aca="1" ref="B59" ca="1">IF($I59="","",INDEX([1]Nhập!$K$11:$K$19999,$I59))</f>
        <v>Mặt dây chuyền B. Duck chính hãng kiểu khắc gỗ - Vịt Chúc Ngủ Ngon</v>
      </c>
      <c r="C59" s="29" t="str">
        <f t="array" aca="1" ref="C59" ca="1">IF($I59="","",INDEX([1]Nhập!$J$11:$J$19999,$I59))</f>
        <v>JWG0044</v>
      </c>
      <c r="D59" s="30" t="str">
        <f t="array" aca="1" ref="D59" ca="1">IF($I59="","",INDEX([1]Nhập!$L$11:$L$19999,$I59))</f>
        <v>Cái</v>
      </c>
      <c r="E59" s="31">
        <f t="array" aca="1" ref="E59" ca="1">IF($I59="","",INDEX([1]Nhập!$M$11:$M$19999,$I59))</f>
        <v>100</v>
      </c>
      <c r="F59" s="31">
        <f t="shared" ca="1" si="1"/>
        <v>100</v>
      </c>
      <c r="G59" s="31">
        <f t="array" aca="1" ref="G59" ca="1">IF($I59="","",INDEX([1]Nhập!$N$11:$N$19999,$I59))</f>
        <v>2962.3020000000001</v>
      </c>
      <c r="H59" s="31">
        <f t="array" aca="1" ref="H59" ca="1">IF($I59="","",INDEX([1]Nhập!$O$11:$O$19999,$I59))</f>
        <v>296230.2</v>
      </c>
      <c r="I59" s="32">
        <f ca="1">IF(TYPE(MATCH($C$8,OFFSET([1]Nhập!$A$11,I58,0):'[1]Nhập'!$A$20000,0)+I58)=16,"",MATCH($C$8,OFFSET([1]Nhập!$A$11,I58,0):'[1]Nhập'!$A$20000,0)+I58)</f>
        <v>44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8">
        <f t="shared" ca="1" si="0"/>
        <v>45</v>
      </c>
      <c r="B60" s="29" t="str">
        <f t="array" aca="1" ref="B60" ca="1">IF($I60="","",INDEX([1]Nhập!$K$11:$K$19999,$I60))</f>
        <v>Mặt dây chuyền B. Duck chính hãng kiểu khắc gỗ - Vịt Ngâm Bồn</v>
      </c>
      <c r="C60" s="29" t="str">
        <f t="array" aca="1" ref="C60" ca="1">IF($I60="","",INDEX([1]Nhập!$J$11:$J$19999,$I60))</f>
        <v>JWG0045</v>
      </c>
      <c r="D60" s="30" t="str">
        <f t="array" aca="1" ref="D60" ca="1">IF($I60="","",INDEX([1]Nhập!$L$11:$L$19999,$I60))</f>
        <v>Cái</v>
      </c>
      <c r="E60" s="31">
        <f t="array" aca="1" ref="E60" ca="1">IF($I60="","",INDEX([1]Nhập!$M$11:$M$19999,$I60))</f>
        <v>100</v>
      </c>
      <c r="F60" s="31">
        <f t="shared" ca="1" si="1"/>
        <v>100</v>
      </c>
      <c r="G60" s="31">
        <f t="array" aca="1" ref="G60" ca="1">IF($I60="","",INDEX([1]Nhập!$N$11:$N$19999,$I60))</f>
        <v>2962.3020000000001</v>
      </c>
      <c r="H60" s="31">
        <f t="array" aca="1" ref="H60" ca="1">IF($I60="","",INDEX([1]Nhập!$O$11:$O$19999,$I60))</f>
        <v>296230.2</v>
      </c>
      <c r="I60" s="32">
        <f ca="1">IF(TYPE(MATCH($C$8,OFFSET([1]Nhập!$A$11,I59,0):'[1]Nhập'!$A$20000,0)+I59)=16,"",MATCH($C$8,OFFSET([1]Nhập!$A$11,I59,0):'[1]Nhập'!$A$20000,0)+I59)</f>
        <v>45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8">
        <f t="shared" ca="1" si="0"/>
        <v>46</v>
      </c>
      <c r="B61" s="29" t="str">
        <f t="array" aca="1" ref="B61" ca="1">IF($I61="","",INDEX([1]Nhập!$K$11:$K$19999,$I61))</f>
        <v>Vịt nổi nam châm</v>
      </c>
      <c r="C61" s="29" t="str">
        <f t="array" aca="1" ref="C61" ca="1">IF($I61="","",INDEX([1]Nhập!$J$11:$J$19999,$I61))</f>
        <v>JWG0046</v>
      </c>
      <c r="D61" s="30" t="str">
        <f t="array" aca="1" ref="D61" ca="1">IF($I61="","",INDEX([1]Nhập!$L$11:$L$19999,$I61))</f>
        <v>Cái</v>
      </c>
      <c r="E61" s="31">
        <f t="array" aca="1" ref="E61" ca="1">IF($I61="","",INDEX([1]Nhập!$M$11:$M$19999,$I61))</f>
        <v>50</v>
      </c>
      <c r="F61" s="31">
        <f t="shared" ca="1" si="1"/>
        <v>50</v>
      </c>
      <c r="G61" s="31">
        <f t="array" aca="1" ref="G61" ca="1">IF($I61="","",INDEX([1]Nhập!$N$11:$N$19999,$I61))</f>
        <v>20367.144</v>
      </c>
      <c r="H61" s="31">
        <f t="array" aca="1" ref="H61" ca="1">IF($I61="","",INDEX([1]Nhập!$O$11:$O$19999,$I61))</f>
        <v>1018357.2</v>
      </c>
      <c r="I61" s="32">
        <f ca="1">IF(TYPE(MATCH($C$8,OFFSET([1]Nhập!$A$11,I60,0):'[1]Nhập'!$A$20000,0)+I60)=16,"",MATCH($C$8,OFFSET([1]Nhập!$A$11,I60,0):'[1]Nhập'!$A$20000,0)+I60)</f>
        <v>46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8">
        <f t="shared" ca="1" si="0"/>
        <v>47</v>
      </c>
      <c r="B62" s="29" t="str">
        <f t="array" aca="1" ref="B62" ca="1">IF($I62="","",INDEX([1]Nhập!$K$11:$K$19999,$I62))</f>
        <v>Búp bê bò nam châm</v>
      </c>
      <c r="C62" s="29" t="str">
        <f t="array" aca="1" ref="C62" ca="1">IF($I62="","",INDEX([1]Nhập!$J$11:$J$19999,$I62))</f>
        <v>JWG0047</v>
      </c>
      <c r="D62" s="30" t="str">
        <f t="array" aca="1" ref="D62" ca="1">IF($I62="","",INDEX([1]Nhập!$L$11:$L$19999,$I62))</f>
        <v>Cái</v>
      </c>
      <c r="E62" s="31">
        <f t="array" aca="1" ref="E62" ca="1">IF($I62="","",INDEX([1]Nhập!$M$11:$M$19999,$I62))</f>
        <v>120</v>
      </c>
      <c r="F62" s="31">
        <f t="shared" ca="1" si="1"/>
        <v>120</v>
      </c>
      <c r="G62" s="31">
        <f t="array" aca="1" ref="G62" ca="1">IF($I62="","",INDEX([1]Nhập!$N$11:$N$19999,$I62))</f>
        <v>7405.7550000000001</v>
      </c>
      <c r="H62" s="31">
        <f t="array" aca="1" ref="H62" ca="1">IF($I62="","",INDEX([1]Nhập!$O$11:$O$19999,$I62))</f>
        <v>888690.6</v>
      </c>
      <c r="I62" s="32">
        <f ca="1">IF(TYPE(MATCH($C$8,OFFSET([1]Nhập!$A$11,I61,0):'[1]Nhập'!$A$20000,0)+I61)=16,"",MATCH($C$8,OFFSET([1]Nhập!$A$11,I61,0):'[1]Nhập'!$A$20000,0)+I61)</f>
        <v>47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8">
        <f t="shared" ca="1" si="0"/>
        <v>48</v>
      </c>
      <c r="B63" s="29" t="str">
        <f t="array" aca="1" ref="B63" ca="1">IF($I63="","",INDEX([1]Nhập!$K$11:$K$19999,$I63))</f>
        <v>Túi đeo chéo búp bê nhồi bông</v>
      </c>
      <c r="C63" s="29" t="str">
        <f t="array" aca="1" ref="C63" ca="1">IF($I63="","",INDEX([1]Nhập!$J$11:$J$19999,$I63))</f>
        <v>JWG0048</v>
      </c>
      <c r="D63" s="30" t="str">
        <f t="array" aca="1" ref="D63" ca="1">IF($I63="","",INDEX([1]Nhập!$L$11:$L$19999,$I63))</f>
        <v>Cái</v>
      </c>
      <c r="E63" s="31">
        <f t="array" aca="1" ref="E63" ca="1">IF($I63="","",INDEX([1]Nhập!$M$11:$M$19999,$I63))</f>
        <v>80</v>
      </c>
      <c r="F63" s="31">
        <f t="shared" ca="1" si="1"/>
        <v>80</v>
      </c>
      <c r="G63" s="31">
        <f t="array" aca="1" ref="G63" ca="1">IF($I63="","",INDEX([1]Nhập!$N$11:$N$19999,$I63))</f>
        <v>11108.6325</v>
      </c>
      <c r="H63" s="31">
        <f t="array" aca="1" ref="H63" ca="1">IF($I63="","",INDEX([1]Nhập!$O$11:$O$19999,$I63))</f>
        <v>888690.6</v>
      </c>
      <c r="I63" s="32">
        <f ca="1">IF(TYPE(MATCH($C$8,OFFSET([1]Nhập!$A$11,I62,0):'[1]Nhập'!$A$20000,0)+I62)=16,"",MATCH($C$8,OFFSET([1]Nhập!$A$11,I62,0):'[1]Nhập'!$A$20000,0)+I62)</f>
        <v>48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8">
        <f t="shared" ca="1" si="0"/>
        <v>49</v>
      </c>
      <c r="B64" s="29" t="str">
        <f t="array" aca="1" ref="B64" ca="1">IF($I64="","",INDEX([1]Nhập!$K$11:$K$19999,$I64))</f>
        <v>Đồ chơi kéo dây (vịt/bọ rùa)</v>
      </c>
      <c r="C64" s="29" t="str">
        <f t="array" aca="1" ref="C64" ca="1">IF($I64="","",INDEX([1]Nhập!$J$11:$J$19999,$I64))</f>
        <v>JWG0049</v>
      </c>
      <c r="D64" s="30" t="str">
        <f t="array" aca="1" ref="D64" ca="1">IF($I64="","",INDEX([1]Nhập!$L$11:$L$19999,$I64))</f>
        <v>Cái</v>
      </c>
      <c r="E64" s="31">
        <f t="array" aca="1" ref="E64" ca="1">IF($I64="","",INDEX([1]Nhập!$M$11:$M$19999,$I64))</f>
        <v>150</v>
      </c>
      <c r="F64" s="31">
        <f t="shared" ca="1" si="1"/>
        <v>150</v>
      </c>
      <c r="G64" s="31">
        <f t="array" aca="1" ref="G64" ca="1">IF($I64="","",INDEX([1]Nhập!$N$11:$N$19999,$I64))</f>
        <v>3702.8775000000001</v>
      </c>
      <c r="H64" s="31">
        <f t="array" aca="1" ref="H64" ca="1">IF($I64="","",INDEX([1]Nhập!$O$11:$O$19999,$I64))</f>
        <v>555431.625</v>
      </c>
      <c r="I64" s="32">
        <f ca="1">IF(TYPE(MATCH($C$8,OFFSET([1]Nhập!$A$11,I63,0):'[1]Nhập'!$A$20000,0)+I63)=16,"",MATCH($C$8,OFFSET([1]Nhập!$A$11,I63,0):'[1]Nhập'!$A$20000,0)+I63)</f>
        <v>49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8">
        <f t="shared" ca="1" si="0"/>
        <v>50</v>
      </c>
      <c r="B65" s="29" t="str">
        <f t="array" aca="1" ref="B65" ca="1">IF($I65="","",INDEX([1]Nhập!$K$11:$K$19999,$I65))</f>
        <v>Hộp mù/Blind box Tài lộc (4 món)</v>
      </c>
      <c r="C65" s="29" t="str">
        <f t="array" aca="1" ref="C65" ca="1">IF($I65="","",INDEX([1]Nhập!$J$11:$J$19999,$I65))</f>
        <v>JWG0050</v>
      </c>
      <c r="D65" s="30" t="str">
        <f t="array" aca="1" ref="D65" ca="1">IF($I65="","",INDEX([1]Nhập!$L$11:$L$19999,$I65))</f>
        <v>Cái</v>
      </c>
      <c r="E65" s="31">
        <f t="array" aca="1" ref="E65" ca="1">IF($I65="","",INDEX([1]Nhập!$M$11:$M$19999,$I65))</f>
        <v>24</v>
      </c>
      <c r="F65" s="31">
        <f t="shared" ca="1" si="1"/>
        <v>24</v>
      </c>
      <c r="G65" s="31">
        <f t="array" aca="1" ref="G65" ca="1">IF($I65="","",INDEX([1]Nhập!$N$11:$N$19999,$I65))</f>
        <v>148115.1</v>
      </c>
      <c r="H65" s="31">
        <f t="array" aca="1" ref="H65" ca="1">IF($I65="","",INDEX([1]Nhập!$O$11:$O$19999,$I65))</f>
        <v>3554762.4000000004</v>
      </c>
      <c r="I65" s="32">
        <f ca="1">IF(TYPE(MATCH($C$8,OFFSET([1]Nhập!$A$11,I64,0):'[1]Nhập'!$A$20000,0)+I64)=16,"",MATCH($C$8,OFFSET([1]Nhập!$A$11,I64,0):'[1]Nhập'!$A$20000,0)+I64)</f>
        <v>50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8">
        <f t="shared" ca="1" si="0"/>
        <v>51</v>
      </c>
      <c r="B66" s="29" t="str">
        <f t="array" aca="1" ref="B66" ca="1">IF($I66="","",INDEX([1]Nhập!$K$11:$K$19999,$I66))</f>
        <v>Hộp mù/Blind box Bảo tàng Anh (6 món)</v>
      </c>
      <c r="C66" s="29" t="str">
        <f t="array" aca="1" ref="C66" ca="1">IF($I66="","",INDEX([1]Nhập!$J$11:$J$19999,$I66))</f>
        <v>JWG0051</v>
      </c>
      <c r="D66" s="30" t="str">
        <f t="array" aca="1" ref="D66" ca="1">IF($I66="","",INDEX([1]Nhập!$L$11:$L$19999,$I66))</f>
        <v>Cái</v>
      </c>
      <c r="E66" s="31">
        <f t="array" aca="1" ref="E66" ca="1">IF($I66="","",INDEX([1]Nhập!$M$11:$M$19999,$I66))</f>
        <v>36</v>
      </c>
      <c r="F66" s="31">
        <f t="shared" ca="1" si="1"/>
        <v>36</v>
      </c>
      <c r="G66" s="31">
        <f t="array" aca="1" ref="G66" ca="1">IF($I66="","",INDEX([1]Nhập!$N$11:$N$19999,$I66))</f>
        <v>166629.48749999999</v>
      </c>
      <c r="H66" s="31">
        <f t="array" aca="1" ref="H66" ca="1">IF($I66="","",INDEX([1]Nhập!$O$11:$O$19999,$I66))</f>
        <v>5998661.5499999998</v>
      </c>
      <c r="I66" s="32">
        <f ca="1">IF(TYPE(MATCH($C$8,OFFSET([1]Nhập!$A$11,I65,0):'[1]Nhập'!$A$20000,0)+I65)=16,"",MATCH($C$8,OFFSET([1]Nhập!$A$11,I65,0):'[1]Nhập'!$A$20000,0)+I65)</f>
        <v>51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>
      <c r="A67" s="28">
        <f t="shared" ca="1" si="0"/>
        <v>52</v>
      </c>
      <c r="B67" s="29" t="str">
        <f t="array" aca="1" ref="B67" ca="1">IF($I67="","",INDEX([1]Nhập!$K$11:$K$19999,$I67))</f>
        <v>Hộp mù/Blind box Vịt Nổi (8 món)</v>
      </c>
      <c r="C67" s="29" t="str">
        <f t="array" aca="1" ref="C67" ca="1">IF($I67="","",INDEX([1]Nhập!$J$11:$J$19999,$I67))</f>
        <v>JWG0052</v>
      </c>
      <c r="D67" s="30" t="str">
        <f t="array" aca="1" ref="D67" ca="1">IF($I67="","",INDEX([1]Nhập!$L$11:$L$19999,$I67))</f>
        <v>Cái</v>
      </c>
      <c r="E67" s="31">
        <f t="array" aca="1" ref="E67" ca="1">IF($I67="","",INDEX([1]Nhập!$M$11:$M$19999,$I67))</f>
        <v>12</v>
      </c>
      <c r="F67" s="31">
        <f t="shared" ca="1" si="1"/>
        <v>12</v>
      </c>
      <c r="G67" s="31">
        <f t="array" aca="1" ref="G67" ca="1">IF($I67="","",INDEX([1]Nhập!$N$11:$N$19999,$I67))</f>
        <v>185143.875</v>
      </c>
      <c r="H67" s="31">
        <f t="array" aca="1" ref="H67" ca="1">IF($I67="","",INDEX([1]Nhập!$O$11:$O$19999,$I67))</f>
        <v>2221726.5</v>
      </c>
      <c r="I67" s="32">
        <f ca="1">IF(TYPE(MATCH($C$8,OFFSET([1]Nhập!$A$11,I66,0):'[1]Nhập'!$A$20000,0)+I66)=16,"",MATCH($C$8,OFFSET([1]Nhập!$A$11,I66,0):'[1]Nhập'!$A$20000,0)+I66)</f>
        <v>52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8">
        <f t="shared" ca="1" si="0"/>
        <v>53</v>
      </c>
      <c r="B68" s="29" t="str">
        <f t="array" aca="1" ref="B68" ca="1">IF($I68="","",INDEX([1]Nhập!$K$11:$K$19999,$I68))</f>
        <v>Búp bê nằm sấp cỡ lớn (40cm)</v>
      </c>
      <c r="C68" s="29" t="str">
        <f t="array" aca="1" ref="C68" ca="1">IF($I68="","",INDEX([1]Nhập!$J$11:$J$19999,$I68))</f>
        <v>JWG0053</v>
      </c>
      <c r="D68" s="30" t="str">
        <f t="array" aca="1" ref="D68" ca="1">IF($I68="","",INDEX([1]Nhập!$L$11:$L$19999,$I68))</f>
        <v>Cái</v>
      </c>
      <c r="E68" s="31">
        <f t="array" aca="1" ref="E68" ca="1">IF($I68="","",INDEX([1]Nhập!$M$11:$M$19999,$I68))</f>
        <v>20</v>
      </c>
      <c r="F68" s="31">
        <f t="shared" ca="1" si="1"/>
        <v>20</v>
      </c>
      <c r="G68" s="31">
        <f t="array" aca="1" ref="G68" ca="1">IF($I68="","",INDEX([1]Nhập!$N$11:$N$19999,$I68))</f>
        <v>44434.53</v>
      </c>
      <c r="H68" s="31">
        <f t="array" aca="1" ref="H68" ca="1">IF($I68="","",INDEX([1]Nhập!$O$11:$O$19999,$I68))</f>
        <v>888690.6</v>
      </c>
      <c r="I68" s="32">
        <f ca="1">IF(TYPE(MATCH($C$8,OFFSET([1]Nhập!$A$11,I67,0):'[1]Nhập'!$A$20000,0)+I67)=16,"",MATCH($C$8,OFFSET([1]Nhập!$A$11,I67,0):'[1]Nhập'!$A$20000,0)+I67)</f>
        <v>53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>
      <c r="A69" s="28">
        <f t="shared" ca="1" si="0"/>
        <v>54</v>
      </c>
      <c r="B69" s="29" t="str">
        <f t="array" aca="1" ref="B69" ca="1">IF($I69="","",INDEX([1]Nhập!$K$11:$K$19999,$I69))</f>
        <v>Túi xách mỏ vịt mini B. Duck</v>
      </c>
      <c r="C69" s="29" t="str">
        <f t="array" aca="1" ref="C69" ca="1">IF($I69="","",INDEX([1]Nhập!$J$11:$J$19999,$I69))</f>
        <v>JWS0001</v>
      </c>
      <c r="D69" s="30" t="str">
        <f t="array" aca="1" ref="D69" ca="1">IF($I69="","",INDEX([1]Nhập!$L$11:$L$19999,$I69))</f>
        <v>Cái</v>
      </c>
      <c r="E69" s="31">
        <f t="array" aca="1" ref="E69" ca="1">IF($I69="","",INDEX([1]Nhập!$M$11:$M$19999,$I69))</f>
        <v>200</v>
      </c>
      <c r="F69" s="31">
        <f t="shared" ca="1" si="1"/>
        <v>200</v>
      </c>
      <c r="G69" s="31">
        <f t="array" aca="1" ref="G69" ca="1">IF($I69="","",INDEX([1]Nhập!$N$11:$N$19999,$I69))</f>
        <v>12961.388999999999</v>
      </c>
      <c r="H69" s="31">
        <f t="array" aca="1" ref="H69" ca="1">IF($I69="","",INDEX([1]Nhập!$O$11:$O$19999,$I69))</f>
        <v>2592277.7999999998</v>
      </c>
      <c r="I69" s="32">
        <f ca="1">IF(TYPE(MATCH($C$8,OFFSET([1]Nhập!$A$11,I68,0):'[1]Nhập'!$A$20000,0)+I68)=16,"",MATCH($C$8,OFFSET([1]Nhập!$A$11,I68,0):'[1]Nhập'!$A$20000,0)+I68)</f>
        <v>54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8">
        <f t="shared" ca="1" si="0"/>
        <v>55</v>
      </c>
      <c r="B70" s="29" t="str">
        <f t="array" aca="1" ref="B70" ca="1">IF($I70="","",INDEX([1]Nhập!$K$11:$K$19999,$I70))</f>
        <v>B. Duck series Tổ Tiên - Vịt Nổi (11CM)</v>
      </c>
      <c r="C70" s="29" t="str">
        <f t="array" aca="1" ref="C70" ca="1">IF($I70="","",INDEX([1]Nhập!$J$11:$J$19999,$I70))</f>
        <v>JWS0002</v>
      </c>
      <c r="D70" s="30" t="str">
        <f t="array" aca="1" ref="D70" ca="1">IF($I70="","",INDEX([1]Nhập!$L$11:$L$19999,$I70))</f>
        <v>Cái</v>
      </c>
      <c r="E70" s="31">
        <f t="array" aca="1" ref="E70" ca="1">IF($I70="","",INDEX([1]Nhập!$M$11:$M$19999,$I70))</f>
        <v>100</v>
      </c>
      <c r="F70" s="31">
        <f t="shared" ca="1" si="1"/>
        <v>100</v>
      </c>
      <c r="G70" s="31">
        <f t="array" aca="1" ref="G70" ca="1">IF($I70="","",INDEX([1]Nhập!$N$11:$N$19999,$I70))</f>
        <v>10368.057000000001</v>
      </c>
      <c r="H70" s="31">
        <f t="array" aca="1" ref="H70" ca="1">IF($I70="","",INDEX([1]Nhập!$O$11:$O$19999,$I70))</f>
        <v>1036805.7000000001</v>
      </c>
      <c r="I70" s="32">
        <f ca="1">IF(TYPE(MATCH($C$8,OFFSET([1]Nhập!$A$11,I69,0):'[1]Nhập'!$A$20000,0)+I69)=16,"",MATCH($C$8,OFFSET([1]Nhập!$A$11,I69,0):'[1]Nhập'!$A$20000,0)+I69)</f>
        <v>55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8">
        <f t="shared" ca="1" si="0"/>
        <v>56</v>
      </c>
      <c r="B71" s="29" t="str">
        <f t="array" aca="1" ref="B71" ca="1">IF($I71="","",INDEX([1]Nhập!$K$11:$K$19999,$I71))</f>
        <v>B. Duck series Tổ Tiên - Búp bê nhồi bông đứng cỡ vừa</v>
      </c>
      <c r="C71" s="29" t="str">
        <f t="array" aca="1" ref="C71" ca="1">IF($I71="","",INDEX([1]Nhập!$J$11:$J$19999,$I71))</f>
        <v>JWS0003</v>
      </c>
      <c r="D71" s="30" t="str">
        <f t="array" aca="1" ref="D71" ca="1">IF($I71="","",INDEX([1]Nhập!$L$11:$L$19999,$I71))</f>
        <v>Cái</v>
      </c>
      <c r="E71" s="31">
        <f t="array" aca="1" ref="E71" ca="1">IF($I71="","",INDEX([1]Nhập!$M$11:$M$19999,$I71))</f>
        <v>150</v>
      </c>
      <c r="F71" s="31">
        <f t="shared" ca="1" si="1"/>
        <v>150</v>
      </c>
      <c r="G71" s="31">
        <f t="array" aca="1" ref="G71" ca="1">IF($I71="","",INDEX([1]Nhập!$N$11:$N$19999,$I71))</f>
        <v>11108.6325</v>
      </c>
      <c r="H71" s="31">
        <f t="array" aca="1" ref="H71" ca="1">IF($I71="","",INDEX([1]Nhập!$O$11:$O$19999,$I71))</f>
        <v>1666294.875</v>
      </c>
      <c r="I71" s="32">
        <f ca="1">IF(TYPE(MATCH($C$8,OFFSET([1]Nhập!$A$11,I70,0):'[1]Nhập'!$A$20000,0)+I70)=16,"",MATCH($C$8,OFFSET([1]Nhập!$A$11,I70,0):'[1]Nhập'!$A$20000,0)+I70)</f>
        <v>56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8">
        <f t="shared" ca="1" si="0"/>
        <v>57</v>
      </c>
      <c r="B72" s="29" t="str">
        <f t="array" aca="1" ref="B72" ca="1">IF($I72="","",INDEX([1]Nhập!$K$11:$K$19999,$I72))</f>
        <v>B. Duck series Tổ Tiên - Mặt dây chuyền dẹt nhỏ</v>
      </c>
      <c r="C72" s="29" t="str">
        <f t="array" aca="1" ref="C72" ca="1">IF($I72="","",INDEX([1]Nhập!$J$11:$J$19999,$I72))</f>
        <v>JWS0004</v>
      </c>
      <c r="D72" s="30" t="str">
        <f t="array" aca="1" ref="D72" ca="1">IF($I72="","",INDEX([1]Nhập!$L$11:$L$19999,$I72))</f>
        <v>Cái</v>
      </c>
      <c r="E72" s="31">
        <f t="array" aca="1" ref="E72" ca="1">IF($I72="","",INDEX([1]Nhập!$M$11:$M$19999,$I72))</f>
        <v>150</v>
      </c>
      <c r="F72" s="31">
        <f t="shared" ca="1" si="1"/>
        <v>150</v>
      </c>
      <c r="G72" s="31">
        <f t="array" aca="1" ref="G72" ca="1">IF($I72="","",INDEX([1]Nhập!$N$11:$N$19999,$I72))</f>
        <v>11108.6325</v>
      </c>
      <c r="H72" s="31">
        <f t="array" aca="1" ref="H72" ca="1">IF($I72="","",INDEX([1]Nhập!$O$11:$O$19999,$I72))</f>
        <v>1666294.875</v>
      </c>
      <c r="I72" s="32">
        <f ca="1">IF(TYPE(MATCH($C$8,OFFSET([1]Nhập!$A$11,I71,0):'[1]Nhập'!$A$20000,0)+I71)=16,"",MATCH($C$8,OFFSET([1]Nhập!$A$11,I71,0):'[1]Nhập'!$A$20000,0)+I71)</f>
        <v>57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8">
        <f t="shared" ca="1" si="0"/>
        <v>58</v>
      </c>
      <c r="B73" s="29" t="str">
        <f t="array" aca="1" ref="B73" ca="1">IF($I73="","",INDEX([1]Nhập!$K$11:$K$19999,$I73))</f>
        <v>B. Duck series Tổ Tiên - Bộ hộp khăn giấy nhồi bông cỡ vừa</v>
      </c>
      <c r="C73" s="29" t="str">
        <f t="array" aca="1" ref="C73" ca="1">IF($I73="","",INDEX([1]Nhập!$J$11:$J$19999,$I73))</f>
        <v>JWS0005</v>
      </c>
      <c r="D73" s="30" t="str">
        <f t="array" aca="1" ref="D73" ca="1">IF($I73="","",INDEX([1]Nhập!$L$11:$L$19999,$I73))</f>
        <v>Cái</v>
      </c>
      <c r="E73" s="31">
        <f t="array" aca="1" ref="E73" ca="1">IF($I73="","",INDEX([1]Nhập!$M$11:$M$19999,$I73))</f>
        <v>150</v>
      </c>
      <c r="F73" s="31">
        <f t="shared" ca="1" si="1"/>
        <v>150</v>
      </c>
      <c r="G73" s="31">
        <f t="array" aca="1" ref="G73" ca="1">IF($I73="","",INDEX([1]Nhập!$N$11:$N$19999,$I73))</f>
        <v>11108.6325</v>
      </c>
      <c r="H73" s="31">
        <f t="array" aca="1" ref="H73" ca="1">IF($I73="","",INDEX([1]Nhập!$O$11:$O$19999,$I73))</f>
        <v>1666294.875</v>
      </c>
      <c r="I73" s="32">
        <f ca="1">IF(TYPE(MATCH($C$8,OFFSET([1]Nhập!$A$11,I72,0):'[1]Nhập'!$A$20000,0)+I72)=16,"",MATCH($C$8,OFFSET([1]Nhập!$A$11,I72,0):'[1]Nhập'!$A$20000,0)+I72)</f>
        <v>58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8">
        <f t="shared" ca="1" si="0"/>
        <v>59</v>
      </c>
      <c r="B74" s="29" t="str">
        <f t="array" aca="1" ref="B74" ca="1">IF($I74="","",INDEX([1]Nhập!$K$11:$K$19999,$I74))</f>
        <v>B. Duck series Tổ Tiên - Búp bê nhồi bông nổi cỡ vừa</v>
      </c>
      <c r="C74" s="29" t="str">
        <f t="array" aca="1" ref="C74" ca="1">IF($I74="","",INDEX([1]Nhập!$J$11:$J$19999,$I74))</f>
        <v>JWS0006</v>
      </c>
      <c r="D74" s="30" t="str">
        <f t="array" aca="1" ref="D74" ca="1">IF($I74="","",INDEX([1]Nhập!$L$11:$L$19999,$I74))</f>
        <v>Cái</v>
      </c>
      <c r="E74" s="31">
        <f t="array" aca="1" ref="E74" ca="1">IF($I74="","",INDEX([1]Nhập!$M$11:$M$19999,$I74))</f>
        <v>100</v>
      </c>
      <c r="F74" s="31">
        <f t="shared" ca="1" si="1"/>
        <v>100</v>
      </c>
      <c r="G74" s="31">
        <f t="array" aca="1" ref="G74" ca="1">IF($I74="","",INDEX([1]Nhập!$N$11:$N$19999,$I74))</f>
        <v>10368.057000000001</v>
      </c>
      <c r="H74" s="31">
        <f t="array" aca="1" ref="H74" ca="1">IF($I74="","",INDEX([1]Nhập!$O$11:$O$19999,$I74))</f>
        <v>1036805.7000000001</v>
      </c>
      <c r="I74" s="32">
        <f ca="1">IF(TYPE(MATCH($C$8,OFFSET([1]Nhập!$A$11,I73,0):'[1]Nhập'!$A$20000,0)+I73)=16,"",MATCH($C$8,OFFSET([1]Nhập!$A$11,I73,0):'[1]Nhập'!$A$20000,0)+I73)</f>
        <v>59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8">
        <f t="shared" ca="1" si="0"/>
        <v>60</v>
      </c>
      <c r="B75" s="29" t="str">
        <f t="array" aca="1" ref="B75" ca="1">IF($I75="","",INDEX([1]Nhập!$K$11:$K$19999,$I75))</f>
        <v>Hộp mù/Blind box nhồi bông series Ngày của Vịt Đậu - Hộp cuối 6+1</v>
      </c>
      <c r="C75" s="29" t="str">
        <f t="array" aca="1" ref="C75" ca="1">IF($I75="","",INDEX([1]Nhập!$J$11:$J$19999,$I75))</f>
        <v>JWS0007</v>
      </c>
      <c r="D75" s="30" t="str">
        <f t="array" aca="1" ref="D75" ca="1">IF($I75="","",INDEX([1]Nhập!$L$11:$L$19999,$I75))</f>
        <v>Cái</v>
      </c>
      <c r="E75" s="31">
        <f t="array" aca="1" ref="E75" ca="1">IF($I75="","",INDEX([1]Nhập!$M$11:$M$19999,$I75))</f>
        <v>100</v>
      </c>
      <c r="F75" s="31">
        <f t="shared" ca="1" si="1"/>
        <v>100</v>
      </c>
      <c r="G75" s="31">
        <f t="array" aca="1" ref="G75" ca="1">IF($I75="","",INDEX([1]Nhập!$N$11:$N$19999,$I75))</f>
        <v>92571.9375</v>
      </c>
      <c r="H75" s="31">
        <f t="array" aca="1" ref="H75" ca="1">IF($I75="","",INDEX([1]Nhập!$O$11:$O$19999,$I75))</f>
        <v>9257193.75</v>
      </c>
      <c r="I75" s="32">
        <f ca="1">IF(TYPE(MATCH($C$8,OFFSET([1]Nhập!$A$11,I74,0):'[1]Nhập'!$A$20000,0)+I74)=16,"",MATCH($C$8,OFFSET([1]Nhập!$A$11,I74,0):'[1]Nhập'!$A$20000,0)+I74)</f>
        <v>60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8">
        <f t="shared" ca="1" si="0"/>
        <v>61</v>
      </c>
      <c r="B76" s="29" t="str">
        <f t="array" aca="1" ref="B76" ca="1">IF($I76="","",INDEX([1]Nhập!$K$11:$K$19999,$I76))</f>
        <v>Series Vịt Đậu - Túi đựng di động Vịt Đậu</v>
      </c>
      <c r="C76" s="29" t="str">
        <f t="array" aca="1" ref="C76" ca="1">IF($I76="","",INDEX([1]Nhập!$J$11:$J$19999,$I76))</f>
        <v>JWS0008</v>
      </c>
      <c r="D76" s="30" t="str">
        <f t="array" aca="1" ref="D76" ca="1">IF($I76="","",INDEX([1]Nhập!$L$11:$L$19999,$I76))</f>
        <v>Cái</v>
      </c>
      <c r="E76" s="31">
        <f t="array" aca="1" ref="E76" ca="1">IF($I76="","",INDEX([1]Nhập!$M$11:$M$19999,$I76))</f>
        <v>100</v>
      </c>
      <c r="F76" s="31">
        <f t="shared" ca="1" si="1"/>
        <v>100</v>
      </c>
      <c r="G76" s="31">
        <f t="array" aca="1" ref="G76" ca="1">IF($I76="","",INDEX([1]Nhập!$N$11:$N$19999,$I76))</f>
        <v>11108.6325</v>
      </c>
      <c r="H76" s="31">
        <f t="array" aca="1" ref="H76" ca="1">IF($I76="","",INDEX([1]Nhập!$O$11:$O$19999,$I76))</f>
        <v>1110863.25</v>
      </c>
      <c r="I76" s="32">
        <f ca="1">IF(TYPE(MATCH($C$8,OFFSET([1]Nhập!$A$11,I75,0):'[1]Nhập'!$A$20000,0)+I75)=16,"",MATCH($C$8,OFFSET([1]Nhập!$A$11,I75,0):'[1]Nhập'!$A$20000,0)+I75)</f>
        <v>61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8">
        <f t="shared" ca="1" si="0"/>
        <v>62</v>
      </c>
      <c r="B77" s="29" t="str">
        <f t="array" aca="1" ref="B77" ca="1">IF($I77="","",INDEX([1]Nhập!$K$11:$K$19999,$I77))</f>
        <v>Series Vịt Đậu - Vịt nhồi bông dán văn phòng</v>
      </c>
      <c r="C77" s="29" t="str">
        <f t="array" aca="1" ref="C77" ca="1">IF($I77="","",INDEX([1]Nhập!$J$11:$J$19999,$I77))</f>
        <v>JWS0009</v>
      </c>
      <c r="D77" s="30" t="str">
        <f t="array" aca="1" ref="D77" ca="1">IF($I77="","",INDEX([1]Nhập!$L$11:$L$19999,$I77))</f>
        <v>Cái</v>
      </c>
      <c r="E77" s="31">
        <f t="array" aca="1" ref="E77" ca="1">IF($I77="","",INDEX([1]Nhập!$M$11:$M$19999,$I77))</f>
        <v>300</v>
      </c>
      <c r="F77" s="31">
        <f t="shared" ca="1" si="1"/>
        <v>300</v>
      </c>
      <c r="G77" s="31">
        <f t="array" aca="1" ref="G77" ca="1">IF($I77="","",INDEX([1]Nhập!$N$11:$N$19999,$I77))</f>
        <v>7405.7550000000001</v>
      </c>
      <c r="H77" s="31">
        <f t="array" aca="1" ref="H77" ca="1">IF($I77="","",INDEX([1]Nhập!$O$11:$O$19999,$I77))</f>
        <v>2221726.5</v>
      </c>
      <c r="I77" s="32">
        <f ca="1">IF(TYPE(MATCH($C$8,OFFSET([1]Nhập!$A$11,I76,0):'[1]Nhập'!$A$20000,0)+I76)=16,"",MATCH($C$8,OFFSET([1]Nhập!$A$11,I76,0):'[1]Nhập'!$A$20000,0)+I76)</f>
        <v>62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8">
        <f t="shared" ca="1" si="0"/>
        <v>63</v>
      </c>
      <c r="B78" s="29" t="str">
        <f t="array" aca="1" ref="B78" ca="1">IF($I78="","",INDEX([1]Nhập!$K$11:$K$19999,$I78))</f>
        <v>Bộ sưu tập Hè B. Duck - Túi chống nước điện thoại TPU màu cam</v>
      </c>
      <c r="C78" s="29" t="str">
        <f t="array" aca="1" ref="C78" ca="1">IF($I78="","",INDEX([1]Nhập!$J$11:$J$19999,$I78))</f>
        <v>JWS0010</v>
      </c>
      <c r="D78" s="30" t="str">
        <f t="array" aca="1" ref="D78" ca="1">IF($I78="","",INDEX([1]Nhập!$L$11:$L$19999,$I78))</f>
        <v>Cái</v>
      </c>
      <c r="E78" s="31">
        <f t="array" aca="1" ref="E78" ca="1">IF($I78="","",INDEX([1]Nhập!$M$11:$M$19999,$I78))</f>
        <v>72</v>
      </c>
      <c r="F78" s="31">
        <f t="shared" ca="1" si="1"/>
        <v>72</v>
      </c>
      <c r="G78" s="31">
        <f t="array" aca="1" ref="G78" ca="1">IF($I78="","",INDEX([1]Nhập!$N$11:$N$19999,$I78))</f>
        <v>5555.634</v>
      </c>
      <c r="H78" s="31">
        <f t="array" aca="1" ref="H78" ca="1">IF($I78="","",INDEX([1]Nhập!$O$11:$O$19999,$I78))</f>
        <v>400005.64799999999</v>
      </c>
      <c r="I78" s="32">
        <f ca="1">IF(TYPE(MATCH($C$8,OFFSET([1]Nhập!$A$11,I77,0):'[1]Nhập'!$A$20000,0)+I77)=16,"",MATCH($C$8,OFFSET([1]Nhập!$A$11,I77,0):'[1]Nhập'!$A$20000,0)+I77)</f>
        <v>63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8">
        <f t="shared" ca="1" si="0"/>
        <v>64</v>
      </c>
      <c r="B79" s="29" t="str">
        <f t="array" aca="1" ref="B79" ca="1">IF($I79="","",INDEX([1]Nhập!$K$11:$K$19999,$I79))</f>
        <v>B. Duck series Động vật - Mặt dây chuyền nhồi bông Vinyl (Kiểu Gấu và Mèo)</v>
      </c>
      <c r="C79" s="29" t="str">
        <f t="array" aca="1" ref="C79" ca="1">IF($I79="","",INDEX([1]Nhập!$J$11:$J$19999,$I79))</f>
        <v>JWS0011</v>
      </c>
      <c r="D79" s="30" t="str">
        <f t="array" aca="1" ref="D79" ca="1">IF($I79="","",INDEX([1]Nhập!$L$11:$L$19999,$I79))</f>
        <v>Cái</v>
      </c>
      <c r="E79" s="31">
        <f t="array" aca="1" ref="E79" ca="1">IF($I79="","",INDEX([1]Nhập!$M$11:$M$19999,$I79))</f>
        <v>50</v>
      </c>
      <c r="F79" s="31">
        <f t="shared" ca="1" si="1"/>
        <v>50</v>
      </c>
      <c r="G79" s="31">
        <f t="array" aca="1" ref="G79" ca="1">IF($I79="","",INDEX([1]Nhập!$N$11:$N$19999,$I79))</f>
        <v>11108.6325</v>
      </c>
      <c r="H79" s="31">
        <f t="array" aca="1" ref="H79" ca="1">IF($I79="","",INDEX([1]Nhập!$O$11:$O$19999,$I79))</f>
        <v>555431.625</v>
      </c>
      <c r="I79" s="32">
        <f ca="1">IF(TYPE(MATCH($C$8,OFFSET([1]Nhập!$A$11,I78,0):'[1]Nhập'!$A$20000,0)+I78)=16,"",MATCH($C$8,OFFSET([1]Nhập!$A$11,I78,0):'[1]Nhập'!$A$20000,0)+I78)</f>
        <v>64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8">
        <f t="shared" ref="A80:A99" ca="1" si="2">IF(B80="","",COUNTA($B$16:B80))</f>
        <v>65</v>
      </c>
      <c r="B80" s="29" t="str">
        <f t="array" aca="1" ref="B80" ca="1">IF($I80="","",INDEX([1]Nhập!$K$11:$K$19999,$I80))</f>
        <v>Ba lô mỏ vịt nhồi bông B. Duck Cổ điển (Kiểu Chân Thú Bông)</v>
      </c>
      <c r="C80" s="29" t="str">
        <f t="array" aca="1" ref="C80" ca="1">IF($I80="","",INDEX([1]Nhập!$J$11:$J$19999,$I80))</f>
        <v>JWS0012</v>
      </c>
      <c r="D80" s="30" t="str">
        <f t="array" aca="1" ref="D80" ca="1">IF($I80="","",INDEX([1]Nhập!$L$11:$L$19999,$I80))</f>
        <v>Cái</v>
      </c>
      <c r="E80" s="31">
        <f t="array" aca="1" ref="E80" ca="1">IF($I80="","",INDEX([1]Nhập!$M$11:$M$19999,$I80))</f>
        <v>50</v>
      </c>
      <c r="F80" s="31">
        <f t="shared" ref="F80:F99" ca="1" si="3">E80</f>
        <v>50</v>
      </c>
      <c r="G80" s="31">
        <f t="array" aca="1" ref="G80" ca="1">IF($I80="","",INDEX([1]Nhập!$N$11:$N$19999,$I80))</f>
        <v>17033.236499999999</v>
      </c>
      <c r="H80" s="31">
        <f t="array" aca="1" ref="H80" ca="1">IF($I80="","",INDEX([1]Nhập!$O$11:$O$19999,$I80))</f>
        <v>851661.82499999995</v>
      </c>
      <c r="I80" s="32">
        <f ca="1">IF(TYPE(MATCH($C$8,OFFSET([1]Nhập!$A$11,I79,0):'[1]Nhập'!$A$20000,0)+I79)=16,"",MATCH($C$8,OFFSET([1]Nhập!$A$11,I79,0):'[1]Nhập'!$A$20000,0)+I79)</f>
        <v>65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8">
        <f t="shared" ca="1" si="2"/>
        <v>66</v>
      </c>
      <c r="B81" s="29" t="str">
        <f t="array" aca="1" ref="B81" ca="1">IF($I81="","",INDEX([1]Nhập!$K$11:$K$19999,$I81))</f>
        <v>Bộ sưu tập Tài lộc B. Duck - Dây đeo điện thoại</v>
      </c>
      <c r="C81" s="29" t="str">
        <f t="array" aca="1" ref="C81" ca="1">IF($I81="","",INDEX([1]Nhập!$J$11:$J$19999,$I81))</f>
        <v>JWS0013</v>
      </c>
      <c r="D81" s="30" t="str">
        <f t="array" aca="1" ref="D81" ca="1">IF($I81="","",INDEX([1]Nhập!$L$11:$L$19999,$I81))</f>
        <v>Cái</v>
      </c>
      <c r="E81" s="31">
        <f t="array" aca="1" ref="E81" ca="1">IF($I81="","",INDEX([1]Nhập!$M$11:$M$19999,$I81))</f>
        <v>30</v>
      </c>
      <c r="F81" s="31">
        <f t="shared" ca="1" si="3"/>
        <v>30</v>
      </c>
      <c r="G81" s="31">
        <f t="array" aca="1" ref="G81" ca="1">IF($I81="","",INDEX([1]Nhập!$N$11:$N$19999,$I81))</f>
        <v>5555.634</v>
      </c>
      <c r="H81" s="31">
        <f t="array" aca="1" ref="H81" ca="1">IF($I81="","",INDEX([1]Nhập!$O$11:$O$19999,$I81))</f>
        <v>166669.01999999999</v>
      </c>
      <c r="I81" s="32">
        <f ca="1">IF(TYPE(MATCH($C$8,OFFSET([1]Nhập!$A$11,I80,0):'[1]Nhập'!$A$20000,0)+I80)=16,"",MATCH($C$8,OFFSET([1]Nhập!$A$11,I80,0):'[1]Nhập'!$A$20000,0)+I80)</f>
        <v>66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8">
        <f t="shared" ca="1" si="2"/>
        <v>67</v>
      </c>
      <c r="B82" s="29" t="str">
        <f t="array" aca="1" ref="B82" ca="1">IF($I82="","",INDEX([1]Nhập!$K$11:$K$19999,$I82))</f>
        <v>Túi đựng tai nghe nhồi bông B. Duck x Vương quốc Bánh quy - Kiểu B. Duck</v>
      </c>
      <c r="C82" s="29" t="str">
        <f t="array" aca="1" ref="C82" ca="1">IF($I82="","",INDEX([1]Nhập!$J$11:$J$19999,$I82))</f>
        <v>JWS0014</v>
      </c>
      <c r="D82" s="30" t="str">
        <f t="array" aca="1" ref="D82" ca="1">IF($I82="","",INDEX([1]Nhập!$L$11:$L$19999,$I82))</f>
        <v>Cái</v>
      </c>
      <c r="E82" s="31">
        <f t="array" aca="1" ref="E82" ca="1">IF($I82="","",INDEX([1]Nhập!$M$11:$M$19999,$I82))</f>
        <v>100</v>
      </c>
      <c r="F82" s="31">
        <f t="shared" ca="1" si="3"/>
        <v>100</v>
      </c>
      <c r="G82" s="31">
        <f t="array" aca="1" ref="G82" ca="1">IF($I82="","",INDEX([1]Nhập!$N$11:$N$19999,$I82))</f>
        <v>7405.7550000000001</v>
      </c>
      <c r="H82" s="31">
        <f t="array" aca="1" ref="H82" ca="1">IF($I82="","",INDEX([1]Nhập!$O$11:$O$19999,$I82))</f>
        <v>740575.5</v>
      </c>
      <c r="I82" s="32">
        <f ca="1">IF(TYPE(MATCH($C$8,OFFSET([1]Nhập!$A$11,I81,0):'[1]Nhập'!$A$20000,0)+I81)=16,"",MATCH($C$8,OFFSET([1]Nhập!$A$11,I81,0):'[1]Nhập'!$A$20000,0)+I81)</f>
        <v>67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8">
        <f t="shared" ca="1" si="2"/>
        <v>68</v>
      </c>
      <c r="B83" s="29" t="str">
        <f t="array" aca="1" ref="B83" ca="1">IF($I83="","",INDEX([1]Nhập!$K$11:$K$19999,$I83))</f>
        <v>B. Duck series 20 (kỷ niệm 20 năm) - Túi Cao bồi B. Duck</v>
      </c>
      <c r="C83" s="29" t="str">
        <f t="array" aca="1" ref="C83" ca="1">IF($I83="","",INDEX([1]Nhập!$J$11:$J$19999,$I83))</f>
        <v>JWS0015</v>
      </c>
      <c r="D83" s="30" t="str">
        <f t="array" aca="1" ref="D83" ca="1">IF($I83="","",INDEX([1]Nhập!$L$11:$L$19999,$I83))</f>
        <v>Cái</v>
      </c>
      <c r="E83" s="31">
        <f t="array" aca="1" ref="E83" ca="1">IF($I83="","",INDEX([1]Nhập!$M$11:$M$19999,$I83))</f>
        <v>50</v>
      </c>
      <c r="F83" s="31">
        <f t="shared" ca="1" si="3"/>
        <v>50</v>
      </c>
      <c r="G83" s="31">
        <f t="array" aca="1" ref="G83" ca="1">IF($I83="","",INDEX([1]Nhập!$N$11:$N$19999,$I83))</f>
        <v>9258.5115000000005</v>
      </c>
      <c r="H83" s="31">
        <f t="array" aca="1" ref="H83" ca="1">IF($I83="","",INDEX([1]Nhập!$O$11:$O$19999,$I83))</f>
        <v>462925.57500000001</v>
      </c>
      <c r="I83" s="32">
        <f ca="1">IF(TYPE(MATCH($C$8,OFFSET([1]Nhập!$A$11,I82,0):'[1]Nhập'!$A$20000,0)+I82)=16,"",MATCH($C$8,OFFSET([1]Nhập!$A$11,I82,0):'[1]Nhập'!$A$20000,0)+I82)</f>
        <v>68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8">
        <f t="shared" ca="1" si="2"/>
        <v>69</v>
      </c>
      <c r="B84" s="29" t="str">
        <f t="array" aca="1" ref="B84" ca="1">IF($I84="","",INDEX([1]Nhập!$K$11:$K$19999,$I84))</f>
        <v>B. Duck series 20 - Đồ trang trí nhồi bông nằm (20CM)</v>
      </c>
      <c r="C84" s="29" t="str">
        <f t="array" aca="1" ref="C84" ca="1">IF($I84="","",INDEX([1]Nhập!$J$11:$J$19999,$I84))</f>
        <v>JWS0016</v>
      </c>
      <c r="D84" s="30" t="str">
        <f t="array" aca="1" ref="D84" ca="1">IF($I84="","",INDEX([1]Nhập!$L$11:$L$19999,$I84))</f>
        <v>Cái</v>
      </c>
      <c r="E84" s="31">
        <f t="array" aca="1" ref="E84" ca="1">IF($I84="","",INDEX([1]Nhập!$M$11:$M$19999,$I84))</f>
        <v>50</v>
      </c>
      <c r="F84" s="31">
        <f t="shared" ca="1" si="3"/>
        <v>50</v>
      </c>
      <c r="G84" s="31">
        <f t="array" aca="1" ref="G84" ca="1">IF($I84="","",INDEX([1]Nhập!$N$11:$N$19999,$I84))</f>
        <v>9250.6049999999996</v>
      </c>
      <c r="H84" s="31">
        <f t="array" aca="1" ref="H84" ca="1">IF($I84="","",INDEX([1]Nhập!$O$11:$O$19999,$I84))</f>
        <v>462530.25</v>
      </c>
      <c r="I84" s="32">
        <f ca="1">IF(TYPE(MATCH($C$8,OFFSET([1]Nhập!$A$11,I83,0):'[1]Nhập'!$A$20000,0)+I83)=16,"",MATCH($C$8,OFFSET([1]Nhập!$A$11,I83,0):'[1]Nhập'!$A$20000,0)+I83)</f>
        <v>69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8">
        <f t="shared" ca="1" si="2"/>
        <v>70</v>
      </c>
      <c r="B85" s="29" t="str">
        <f t="array" aca="1" ref="B85" ca="1">IF($I85="","",INDEX([1]Nhập!$K$11:$K$19999,$I85))</f>
        <v>B.Duck Tuần lễ Lao động - Mặt dây chuyền nhồi bông (Vịt Làm Việc)</v>
      </c>
      <c r="C85" s="29" t="str">
        <f t="array" aca="1" ref="C85" ca="1">IF($I85="","",INDEX([1]Nhập!$J$11:$J$19999,$I85))</f>
        <v>JWS0017</v>
      </c>
      <c r="D85" s="30" t="str">
        <f t="array" aca="1" ref="D85" ca="1">IF($I85="","",INDEX([1]Nhập!$L$11:$L$19999,$I85))</f>
        <v>Cái</v>
      </c>
      <c r="E85" s="31">
        <f t="array" aca="1" ref="E85" ca="1">IF($I85="","",INDEX([1]Nhập!$M$11:$M$19999,$I85))</f>
        <v>50</v>
      </c>
      <c r="F85" s="31">
        <f t="shared" ca="1" si="3"/>
        <v>50</v>
      </c>
      <c r="G85" s="31">
        <f t="array" aca="1" ref="G85" ca="1">IF($I85="","",INDEX([1]Nhập!$N$11:$N$19999,$I85))</f>
        <v>9250.6049999999996</v>
      </c>
      <c r="H85" s="31">
        <f t="array" aca="1" ref="H85" ca="1">IF($I85="","",INDEX([1]Nhập!$O$11:$O$19999,$I85))</f>
        <v>462530.25</v>
      </c>
      <c r="I85" s="32">
        <f ca="1">IF(TYPE(MATCH($C$8,OFFSET([1]Nhập!$A$11,I84,0):'[1]Nhập'!$A$20000,0)+I84)=16,"",MATCH($C$8,OFFSET([1]Nhập!$A$11,I84,0):'[1]Nhập'!$A$20000,0)+I84)</f>
        <v>70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8">
        <f t="shared" ca="1" si="2"/>
        <v>71</v>
      </c>
      <c r="B86" s="29" t="str">
        <f t="array" aca="1" ref="B86" ca="1">IF($I86="","",INDEX([1]Nhập!$K$11:$K$19999,$I86))</f>
        <v>B.Duck Tuần lễ Lao động - Mặt dây chuyền nhồi bông (Vịt Buồn Ngủ)</v>
      </c>
      <c r="C86" s="29" t="str">
        <f t="array" aca="1" ref="C86" ca="1">IF($I86="","",INDEX([1]Nhập!$J$11:$J$19999,$I86))</f>
        <v>JWS0018</v>
      </c>
      <c r="D86" s="30" t="str">
        <f t="array" aca="1" ref="D86" ca="1">IF($I86="","",INDEX([1]Nhập!$L$11:$L$19999,$I86))</f>
        <v>Cái</v>
      </c>
      <c r="E86" s="31">
        <f t="array" aca="1" ref="E86" ca="1">IF($I86="","",INDEX([1]Nhập!$M$11:$M$19999,$I86))</f>
        <v>50</v>
      </c>
      <c r="F86" s="31">
        <f t="shared" ca="1" si="3"/>
        <v>50</v>
      </c>
      <c r="G86" s="31">
        <f t="array" aca="1" ref="G86" ca="1">IF($I86="","",INDEX([1]Nhập!$N$11:$N$19999,$I86))</f>
        <v>9224.25</v>
      </c>
      <c r="H86" s="31">
        <f t="array" aca="1" ref="H86" ca="1">IF($I86="","",INDEX([1]Nhập!$O$11:$O$19999,$I86))</f>
        <v>461212.5</v>
      </c>
      <c r="I86" s="32">
        <f ca="1">IF(TYPE(MATCH($C$8,OFFSET([1]Nhập!$A$11,I85,0):'[1]Nhập'!$A$20000,0)+I85)=16,"",MATCH($C$8,OFFSET([1]Nhập!$A$11,I85,0):'[1]Nhập'!$A$20000,0)+I85)</f>
        <v>71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8">
        <f t="shared" ca="1" si="2"/>
        <v>72</v>
      </c>
      <c r="B87" s="29" t="str">
        <f t="array" aca="1" ref="B87" ca="1">IF($I87="","",INDEX([1]Nhập!$K$11:$K$19999,$I87))</f>
        <v>B.Duck series Cầu vồng Dopamine - Vịt Nổi 9cm</v>
      </c>
      <c r="C87" s="29" t="str">
        <f t="array" aca="1" ref="C87" ca="1">IF($I87="","",INDEX([1]Nhập!$J$11:$J$19999,$I87))</f>
        <v>JWS0019</v>
      </c>
      <c r="D87" s="30" t="str">
        <f t="array" aca="1" ref="D87" ca="1">IF($I87="","",INDEX([1]Nhập!$L$11:$L$19999,$I87))</f>
        <v>Cái</v>
      </c>
      <c r="E87" s="31">
        <f t="array" aca="1" ref="E87" ca="1">IF($I87="","",INDEX([1]Nhập!$M$11:$M$19999,$I87))</f>
        <v>20</v>
      </c>
      <c r="F87" s="31">
        <f t="shared" ca="1" si="3"/>
        <v>20</v>
      </c>
      <c r="G87" s="31">
        <f t="array" aca="1" ref="G87" ca="1">IF($I87="","",INDEX([1]Nhập!$N$11:$N$19999,$I87))</f>
        <v>9224.25</v>
      </c>
      <c r="H87" s="31">
        <f t="array" aca="1" ref="H87" ca="1">IF($I87="","",INDEX([1]Nhập!$O$11:$O$19999,$I87))</f>
        <v>184485</v>
      </c>
      <c r="I87" s="32">
        <f ca="1">IF(TYPE(MATCH($C$8,OFFSET([1]Nhập!$A$11,I86,0):'[1]Nhập'!$A$20000,0)+I86)=16,"",MATCH($C$8,OFFSET([1]Nhập!$A$11,I86,0):'[1]Nhập'!$A$20000,0)+I86)</f>
        <v>72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8">
        <f t="shared" ca="1" si="2"/>
        <v>73</v>
      </c>
      <c r="B88" s="29" t="str">
        <f t="array" aca="1" ref="B88" ca="1">IF($I88="","",INDEX([1]Nhập!$K$11:$K$19999,$I88))</f>
        <v>Túi đựng tai nghe nhồi bông B.Duck x Monchhichi 2.0</v>
      </c>
      <c r="C88" s="29" t="str">
        <f t="array" aca="1" ref="C88" ca="1">IF($I88="","",INDEX([1]Nhập!$J$11:$J$19999,$I88))</f>
        <v>JWS0020</v>
      </c>
      <c r="D88" s="30" t="str">
        <f t="array" aca="1" ref="D88" ca="1">IF($I88="","",INDEX([1]Nhập!$L$11:$L$19999,$I88))</f>
        <v>Cái</v>
      </c>
      <c r="E88" s="31">
        <f t="array" aca="1" ref="E88" ca="1">IF($I88="","",INDEX([1]Nhập!$M$11:$M$19999,$I88))</f>
        <v>50</v>
      </c>
      <c r="F88" s="31">
        <f t="shared" ca="1" si="3"/>
        <v>50</v>
      </c>
      <c r="G88" s="31">
        <f t="array" aca="1" ref="G88" ca="1">IF($I88="","",INDEX([1]Nhập!$N$11:$N$19999,$I88))</f>
        <v>17657.849999999999</v>
      </c>
      <c r="H88" s="31">
        <f t="array" aca="1" ref="H88" ca="1">IF($I88="","",INDEX([1]Nhập!$O$11:$O$19999,$I88))</f>
        <v>882892.49999999988</v>
      </c>
      <c r="I88" s="32">
        <f ca="1">IF(TYPE(MATCH($C$8,OFFSET([1]Nhập!$A$11,I87,0):'[1]Nhập'!$A$20000,0)+I87)=16,"",MATCH($C$8,OFFSET([1]Nhập!$A$11,I87,0):'[1]Nhập'!$A$20000,0)+I87)</f>
        <v>73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8">
        <f t="shared" ca="1" si="2"/>
        <v>74</v>
      </c>
      <c r="B89" s="29" t="str">
        <f t="array" aca="1" ref="B89" ca="1">IF($I89="","",INDEX([1]Nhập!$K$11:$K$19999,$I89))</f>
        <v>Túi đeo chéo nhồi bông B.Duck x Monchhichi 2.0</v>
      </c>
      <c r="C89" s="29" t="str">
        <f t="array" aca="1" ref="C89" ca="1">IF($I89="","",INDEX([1]Nhập!$J$11:$J$19999,$I89))</f>
        <v>JWS0021</v>
      </c>
      <c r="D89" s="30" t="str">
        <f t="array" aca="1" ref="D89" ca="1">IF($I89="","",INDEX([1]Nhập!$L$11:$L$19999,$I89))</f>
        <v>Cái</v>
      </c>
      <c r="E89" s="31">
        <f t="array" aca="1" ref="E89" ca="1">IF($I89="","",INDEX([1]Nhập!$M$11:$M$19999,$I89))</f>
        <v>50</v>
      </c>
      <c r="F89" s="31">
        <f t="shared" ca="1" si="3"/>
        <v>50</v>
      </c>
      <c r="G89" s="31">
        <f t="array" aca="1" ref="G89" ca="1">IF($I89="","",INDEX([1]Nhập!$N$11:$N$19999,$I89))</f>
        <v>14231.7</v>
      </c>
      <c r="H89" s="31">
        <f t="array" aca="1" ref="H89" ca="1">IF($I89="","",INDEX([1]Nhập!$O$11:$O$19999,$I89))</f>
        <v>711585</v>
      </c>
      <c r="I89" s="32">
        <f ca="1">IF(TYPE(MATCH($C$8,OFFSET([1]Nhập!$A$11,I88,0):'[1]Nhập'!$A$20000,0)+I88)=16,"",MATCH($C$8,OFFSET([1]Nhập!$A$11,I88,0):'[1]Nhập'!$A$20000,0)+I88)</f>
        <v>74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8">
        <f t="shared" ca="1" si="2"/>
        <v>75</v>
      </c>
      <c r="B90" s="29" t="str">
        <f t="array" aca="1" ref="B90" ca="1">IF($I90="","",INDEX([1]Nhập!$K$11:$K$19999,$I90))</f>
        <v>B.Duck series 20 - Bộ ốp lưng điện thoại nam châm (iPhone 16 Pro Max)</v>
      </c>
      <c r="C90" s="29" t="str">
        <f t="array" aca="1" ref="C90" ca="1">IF($I90="","",INDEX([1]Nhập!$J$11:$J$19999,$I90))</f>
        <v>JWS0022</v>
      </c>
      <c r="D90" s="30" t="str">
        <f t="array" aca="1" ref="D90" ca="1">IF($I90="","",INDEX([1]Nhập!$L$11:$L$19999,$I90))</f>
        <v>Cái</v>
      </c>
      <c r="E90" s="31">
        <f t="array" aca="1" ref="E90" ca="1">IF($I90="","",INDEX([1]Nhập!$M$11:$M$19999,$I90))</f>
        <v>50</v>
      </c>
      <c r="F90" s="31">
        <f t="shared" ca="1" si="3"/>
        <v>50</v>
      </c>
      <c r="G90" s="31">
        <f t="array" aca="1" ref="G90" ca="1">IF($I90="","",INDEX([1]Nhập!$N$11:$N$19999,$I90))</f>
        <v>22138.2</v>
      </c>
      <c r="H90" s="31">
        <f t="array" aca="1" ref="H90" ca="1">IF($I90="","",INDEX([1]Nhập!$O$11:$O$19999,$I90))</f>
        <v>1106910</v>
      </c>
      <c r="I90" s="32">
        <f ca="1">IF(TYPE(MATCH($C$8,OFFSET([1]Nhập!$A$11,I89,0):'[1]Nhập'!$A$20000,0)+I89)=16,"",MATCH($C$8,OFFSET([1]Nhập!$A$11,I89,0):'[1]Nhập'!$A$20000,0)+I89)</f>
        <v>75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8">
        <f t="shared" ca="1" si="2"/>
        <v>76</v>
      </c>
      <c r="B91" s="29" t="str">
        <f t="array" aca="1" ref="B91" ca="1">IF($I91="","",INDEX([1]Nhập!$K$11:$K$19999,$I91))</f>
        <v>B.Duck series Vitamin C Khỏe mạnh - Gói Giảm Đau Vịt Chanh (Ningmeng ya)</v>
      </c>
      <c r="C91" s="29" t="str">
        <f t="array" aca="1" ref="C91" ca="1">IF($I91="","",INDEX([1]Nhập!$J$11:$J$19999,$I91))</f>
        <v>JWS0023</v>
      </c>
      <c r="D91" s="30" t="str">
        <f t="array" aca="1" ref="D91" ca="1">IF($I91="","",INDEX([1]Nhập!$L$11:$L$19999,$I91))</f>
        <v>Cái</v>
      </c>
      <c r="E91" s="31">
        <f t="array" aca="1" ref="E91" ca="1">IF($I91="","",INDEX([1]Nhập!$M$11:$M$19999,$I91))</f>
        <v>150</v>
      </c>
      <c r="F91" s="31">
        <f t="shared" ca="1" si="3"/>
        <v>150</v>
      </c>
      <c r="G91" s="31">
        <f t="array" aca="1" ref="G91" ca="1">IF($I91="","",INDEX([1]Nhập!$N$11:$N$19999,$I91))</f>
        <v>5534.55</v>
      </c>
      <c r="H91" s="31">
        <f t="array" aca="1" ref="H91" ca="1">IF($I91="","",INDEX([1]Nhập!$O$11:$O$19999,$I91))</f>
        <v>830182.5</v>
      </c>
      <c r="I91" s="32">
        <f ca="1">IF(TYPE(MATCH($C$8,OFFSET([1]Nhập!$A$11,I90,0):'[1]Nhập'!$A$20000,0)+I90)=16,"",MATCH($C$8,OFFSET([1]Nhập!$A$11,I90,0):'[1]Nhập'!$A$20000,0)+I90)</f>
        <v>76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8">
        <f t="shared" ca="1" si="2"/>
        <v>77</v>
      </c>
      <c r="B92" s="29" t="str">
        <f t="array" aca="1" ref="B92" ca="1">IF($I92="","",INDEX([1]Nhập!$K$11:$K$19999,$I92))</f>
        <v>B.Duck series Chiêu Tài (Zhaocai) - Giá đỡ điện thoại túi khí Vịt Chiêu Tài - Bộ sưu tập Tiêu Tiền</v>
      </c>
      <c r="C92" s="29" t="str">
        <f t="array" aca="1" ref="C92" ca="1">IF($I92="","",INDEX([1]Nhập!$J$11:$J$19999,$I92))</f>
        <v>JWS0024</v>
      </c>
      <c r="D92" s="30" t="str">
        <f t="array" aca="1" ref="D92" ca="1">IF($I92="","",INDEX([1]Nhập!$L$11:$L$19999,$I92))</f>
        <v>Cái</v>
      </c>
      <c r="E92" s="31">
        <f t="array" aca="1" ref="E92" ca="1">IF($I92="","",INDEX([1]Nhập!$M$11:$M$19999,$I92))</f>
        <v>50</v>
      </c>
      <c r="F92" s="31">
        <f t="shared" ca="1" si="3"/>
        <v>50</v>
      </c>
      <c r="G92" s="31">
        <f t="array" aca="1" ref="G92" ca="1">IF($I92="","",INDEX([1]Nhập!$N$11:$N$19999,$I92))</f>
        <v>2582.79</v>
      </c>
      <c r="H92" s="31">
        <f t="array" aca="1" ref="H92" ca="1">IF($I92="","",INDEX([1]Nhập!$O$11:$O$19999,$I92))</f>
        <v>129139.5</v>
      </c>
      <c r="I92" s="32">
        <f ca="1">IF(TYPE(MATCH($C$8,OFFSET([1]Nhập!$A$11,I91,0):'[1]Nhập'!$A$20000,0)+I91)=16,"",MATCH($C$8,OFFSET([1]Nhập!$A$11,I91,0):'[1]Nhập'!$A$20000,0)+I91)</f>
        <v>77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8">
        <f t="shared" ca="1" si="2"/>
        <v>78</v>
      </c>
      <c r="B93" s="29" t="str">
        <f t="array" aca="1" ref="B93" ca="1">IF($I93="","",INDEX([1]Nhập!$K$11:$K$19999,$I93))</f>
        <v>B.Duck series Vitamin C (Health Dimension) - Nhãn dán nổi (Crystal Drop) (Phiên bản Tem)</v>
      </c>
      <c r="C93" s="29" t="str">
        <f t="array" aca="1" ref="C93" ca="1">IF($I93="","",INDEX([1]Nhập!$J$11:$J$19999,$I93))</f>
        <v>JWS0025</v>
      </c>
      <c r="D93" s="30" t="str">
        <f t="array" aca="1" ref="D93" ca="1">IF($I93="","",INDEX([1]Nhập!$L$11:$L$19999,$I93))</f>
        <v>Cái</v>
      </c>
      <c r="E93" s="31">
        <f t="array" aca="1" ref="E93" ca="1">IF($I93="","",INDEX([1]Nhập!$M$11:$M$19999,$I93))</f>
        <v>86</v>
      </c>
      <c r="F93" s="31">
        <f t="shared" ca="1" si="3"/>
        <v>86</v>
      </c>
      <c r="G93" s="31">
        <f t="array" aca="1" ref="G93" ca="1">IF($I93="","",INDEX([1]Nhập!$N$11:$N$19999,$I93))</f>
        <v>2145.297</v>
      </c>
      <c r="H93" s="31">
        <f t="array" aca="1" ref="H93" ca="1">IF($I93="","",INDEX([1]Nhập!$O$11:$O$19999,$I93))</f>
        <v>184495.54200000002</v>
      </c>
      <c r="I93" s="32">
        <f ca="1">IF(TYPE(MATCH($C$8,OFFSET([1]Nhập!$A$11,I92,0):'[1]Nhập'!$A$20000,0)+I92)=16,"",MATCH($C$8,OFFSET([1]Nhập!$A$11,I92,0):'[1]Nhập'!$A$20000,0)+I92)</f>
        <v>78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8">
        <f t="shared" ca="1" si="2"/>
        <v>79</v>
      </c>
      <c r="B94" s="29" t="str">
        <f t="array" aca="1" ref="B94" ca="1">IF($I94="","",INDEX([1]Nhập!$K$11:$K$19999,$I94))</f>
        <v>B.Duck series Vitamin C Khỏe mạnh - Nhãn dán nổi (Crystal Drop) (Phiên bản Trái cây)</v>
      </c>
      <c r="C94" s="29" t="str">
        <f t="array" aca="1" ref="C94" ca="1">IF($I94="","",INDEX([1]Nhập!$J$11:$J$19999,$I94))</f>
        <v>JWS0026</v>
      </c>
      <c r="D94" s="30" t="str">
        <f t="array" aca="1" ref="D94" ca="1">IF($I94="","",INDEX([1]Nhập!$L$11:$L$19999,$I94))</f>
        <v>Cái</v>
      </c>
      <c r="E94" s="31">
        <f t="array" aca="1" ref="E94" ca="1">IF($I94="","",INDEX([1]Nhập!$M$11:$M$19999,$I94))</f>
        <v>84</v>
      </c>
      <c r="F94" s="31">
        <f t="shared" ca="1" si="3"/>
        <v>84</v>
      </c>
      <c r="G94" s="31">
        <f t="array" aca="1" ref="G94" ca="1">IF($I94="","",INDEX([1]Nhập!$N$11:$N$19999,$I94))</f>
        <v>2195.3715000000002</v>
      </c>
      <c r="H94" s="31">
        <f t="array" aca="1" ref="H94" ca="1">IF($I94="","",INDEX([1]Nhập!$O$11:$O$19999,$I94))</f>
        <v>184411.20600000001</v>
      </c>
      <c r="I94" s="32">
        <f ca="1">IF(TYPE(MATCH($C$8,OFFSET([1]Nhập!$A$11,I93,0):'[1]Nhập'!$A$20000,0)+I93)=16,"",MATCH($C$8,OFFSET([1]Nhập!$A$11,I93,0):'[1]Nhập'!$A$20000,0)+I93)</f>
        <v>79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8">
        <f t="shared" ca="1" si="2"/>
        <v>80</v>
      </c>
      <c r="B95" s="29" t="str">
        <f t="array" aca="1" ref="B95" ca="1">IF($I95="","",INDEX([1]Nhập!$K$11:$K$19999,$I95))</f>
        <v>Túi giấy</v>
      </c>
      <c r="C95" s="29" t="str">
        <f t="array" aca="1" ref="C95" ca="1">IF($I95="","",INDEX([1]Nhập!$J$11:$J$19999,$I95))</f>
        <v>JWS0027</v>
      </c>
      <c r="D95" s="30" t="str">
        <f t="array" aca="1" ref="D95" ca="1">IF($I95="","",INDEX([1]Nhập!$L$11:$L$19999,$I95))</f>
        <v>Cái</v>
      </c>
      <c r="E95" s="31">
        <f t="array" aca="1" ref="E95" ca="1">IF($I95="","",INDEX([1]Nhập!$M$11:$M$19999,$I95))</f>
        <v>3000</v>
      </c>
      <c r="F95" s="31">
        <f t="shared" ca="1" si="3"/>
        <v>3000</v>
      </c>
      <c r="G95" s="31">
        <f t="array" aca="1" ref="G95" ca="1">IF($I95="","",INDEX([1]Nhập!$N$11:$N$19999,$I95))</f>
        <v>10381</v>
      </c>
      <c r="H95" s="31">
        <f t="array" aca="1" ref="H95" ca="1">IF($I95="","",INDEX([1]Nhập!$O$11:$O$19999,$I95))</f>
        <v>31143000</v>
      </c>
      <c r="I95" s="32">
        <f ca="1">IF(TYPE(MATCH($C$8,OFFSET([1]Nhập!$A$11,I94,0):'[1]Nhập'!$A$20000,0)+I94)=16,"",MATCH($C$8,OFFSET([1]Nhập!$A$11,I94,0):'[1]Nhập'!$A$20000,0)+I94)</f>
        <v>80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33" t="s">
        <v>20</v>
      </c>
      <c r="B96" s="34"/>
      <c r="C96" s="34"/>
      <c r="D96" s="34"/>
      <c r="E96" s="34"/>
      <c r="F96" s="34"/>
      <c r="G96" s="35"/>
      <c r="H96" s="36">
        <f ca="1">ROUND(SUM(H16:H95),0)</f>
        <v>210604679</v>
      </c>
      <c r="I96" s="37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38" t="str">
        <f>B7</f>
        <v>Ngày   12    tháng    11    năm   2025</v>
      </c>
      <c r="B97" s="38"/>
      <c r="C97" s="38"/>
      <c r="D97" s="38"/>
      <c r="E97" s="38"/>
      <c r="F97" s="38"/>
      <c r="G97" s="38"/>
      <c r="H97" s="3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1" t="str">
        <f ca="1">"Tổng số tiền viết bằng chữ:"&amp;" "&amp;D148</f>
        <v>Tổng số tiền viết bằng chữ: Hai trăm mười triệu sáu trăm lẻ bốn ngàn sáu trăm bảy mươi chín đồng.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39" t="s">
        <v>21</v>
      </c>
      <c r="B99" s="4"/>
      <c r="C99" s="39" t="s">
        <v>22</v>
      </c>
      <c r="D99" s="4"/>
      <c r="E99" s="40"/>
      <c r="F99" s="41" t="s">
        <v>23</v>
      </c>
      <c r="G99" s="42" t="s">
        <v>24</v>
      </c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43">
        <f>[1]ThongtinDN!C9</f>
        <v>0</v>
      </c>
      <c r="B105" s="4"/>
      <c r="C105" s="2"/>
      <c r="D105" s="2"/>
      <c r="E105" s="2"/>
      <c r="F105" s="2"/>
      <c r="G105" s="43" t="str">
        <f>[1]ThongtinDN!C8</f>
        <v>TRẦN LỆ LAN</v>
      </c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9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hidden="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hidden="1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hidden="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hidden="1" customHeight="1">
      <c r="A128" s="2"/>
      <c r="B128" s="2"/>
      <c r="C128" s="2"/>
      <c r="D128" s="2"/>
      <c r="E128" s="2"/>
      <c r="F128" s="2"/>
      <c r="G128" s="2"/>
      <c r="H128" s="2"/>
      <c r="I128" s="2"/>
      <c r="J128" s="44">
        <v>7</v>
      </c>
      <c r="K128" s="44">
        <v>8</v>
      </c>
      <c r="L128" s="45">
        <v>9</v>
      </c>
      <c r="M128" s="44">
        <v>10</v>
      </c>
      <c r="N128" s="44">
        <v>11</v>
      </c>
      <c r="O128" s="44">
        <v>12</v>
      </c>
      <c r="P128" s="4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hidden="1" customHeight="1">
      <c r="A129" s="2"/>
      <c r="B129" s="2"/>
      <c r="C129" s="2"/>
      <c r="D129" s="2"/>
      <c r="E129" s="2"/>
      <c r="F129" s="2"/>
      <c r="G129" s="2"/>
      <c r="H129" s="2"/>
      <c r="I129" s="2"/>
      <c r="J129" s="46">
        <f ca="1">VALUE(MID(C143,J128,1))</f>
        <v>6</v>
      </c>
      <c r="K129" s="46">
        <f ca="1">VALUE(MID(C143,K128,1))</f>
        <v>0</v>
      </c>
      <c r="L129" s="47">
        <f ca="1">VALUE(MID(C143,L128,1))</f>
        <v>4</v>
      </c>
      <c r="M129" s="46">
        <f ca="1">VALUE(MID(C143,M128,1))</f>
        <v>6</v>
      </c>
      <c r="N129" s="46">
        <f ca="1">VALUE(MID(C143,N128,1))</f>
        <v>7</v>
      </c>
      <c r="O129" s="46">
        <f ca="1">VALUE(MID(C143,O128,1))</f>
        <v>9</v>
      </c>
      <c r="P129" s="4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hidden="1" customHeight="1">
      <c r="A130" s="2"/>
      <c r="B130" s="2"/>
      <c r="C130" s="2"/>
      <c r="D130" s="2"/>
      <c r="E130" s="2"/>
      <c r="F130" s="2"/>
      <c r="G130" s="2"/>
      <c r="H130" s="2"/>
      <c r="I130" s="2"/>
      <c r="J130" s="46">
        <f ca="1">SUM(J129)</f>
        <v>6</v>
      </c>
      <c r="K130" s="46">
        <f ca="1">SUM(J129:K129)</f>
        <v>6</v>
      </c>
      <c r="L130" s="47">
        <f ca="1">SUM(J129:L129)</f>
        <v>10</v>
      </c>
      <c r="M130" s="46">
        <f ca="1">SUM(M129)</f>
        <v>6</v>
      </c>
      <c r="N130" s="46">
        <f ca="1">SUM(M129:N129)</f>
        <v>13</v>
      </c>
      <c r="O130" s="46">
        <f ca="1">SUM(M129:O129)</f>
        <v>22</v>
      </c>
      <c r="P130" s="4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hidden="1" customHeight="1">
      <c r="A131" s="2"/>
      <c r="B131" s="2"/>
      <c r="C131" s="2"/>
      <c r="D131" s="2"/>
      <c r="E131" s="2"/>
      <c r="F131" s="2"/>
      <c r="G131" s="2"/>
      <c r="H131" s="2"/>
      <c r="I131" s="2"/>
      <c r="J131" s="48" t="str">
        <f ca="1">IF(J129=0,"",CHOOSE(J129,"một","hai","ba","bốn","năm","sáu","bảy","tám","chín"))</f>
        <v>sáu</v>
      </c>
      <c r="K131" s="48" t="str">
        <f ca="1">IF(K129=0,IF(AND(J129&lt;&gt;0,L129&lt;&gt;0),"lẻ",""),CHOOSE(K129,"mười","hai","ba","bốn","năm","sáu","bảy","tám","chín"))</f>
        <v>lẻ</v>
      </c>
      <c r="L131" s="49" t="str">
        <f ca="1">IF(L129=0,"",CHOOSE(L129,IF(K129&gt;1,"mốt","một"),"hai","ba","bốn",IF(K129=0,"năm","lăm"),"sáu","bảy","tám","chín"))</f>
        <v>bốn</v>
      </c>
      <c r="M131" s="48" t="str">
        <f ca="1">IF(M129=0,"",CHOOSE(M129,"một","hai","ba","bốn","năm","sáu","bảy","tám","chín"))</f>
        <v>sáu</v>
      </c>
      <c r="N131" s="48" t="str">
        <f ca="1">IF(N129=0,IF(AND(M129&lt;&gt;0,O129&lt;&gt;0),"lẻ",""),CHOOSE(N129,"mười","hai","ba","bốn","năm","sáu","bảy","tám","chín"))</f>
        <v>bảy</v>
      </c>
      <c r="O131" s="48" t="str">
        <f ca="1">IF(O129=0,"",CHOOSE(O129,IF(N129&gt;1,"mốt","một"),"hai","ba","bốn",IF(N129=0,"năm","lăm"),"sáu","bảy","tám","chín"))</f>
        <v>chín</v>
      </c>
      <c r="P131" s="4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hidden="1" customHeight="1">
      <c r="A132" s="2"/>
      <c r="B132" s="2"/>
      <c r="C132" s="2"/>
      <c r="D132" s="2"/>
      <c r="E132" s="2"/>
      <c r="F132" s="2"/>
      <c r="G132" s="2"/>
      <c r="H132" s="2"/>
      <c r="I132" s="2"/>
      <c r="J132" s="48" t="str">
        <f ca="1">IF(J129=0,"","trăm")</f>
        <v>trăm</v>
      </c>
      <c r="K132" s="48" t="str">
        <f ca="1">IF(K129=0,"",IF(K129=1,"","mươi"))</f>
        <v/>
      </c>
      <c r="L132" s="49" t="str">
        <f ca="1">IF(AND(L129=0,L130=0),"","ngàn")</f>
        <v>ngàn</v>
      </c>
      <c r="M132" s="48" t="str">
        <f ca="1">IF(M129=0,"","trăm")</f>
        <v>trăm</v>
      </c>
      <c r="N132" s="48" t="str">
        <f ca="1">IF(N129=0,"",IF(N129=1,"","mươi"))</f>
        <v>mươi</v>
      </c>
      <c r="O132" s="48" t="s">
        <v>25</v>
      </c>
      <c r="P132" s="4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hidden="1" customHeight="1">
      <c r="A133" s="2"/>
      <c r="B133" s="2"/>
      <c r="C133" s="2"/>
      <c r="D133" s="2"/>
      <c r="E133" s="2"/>
      <c r="F133" s="2"/>
      <c r="G133" s="2"/>
      <c r="H133" s="2"/>
      <c r="I133" s="2"/>
      <c r="J133" s="46"/>
      <c r="K133" s="46"/>
      <c r="L133" s="46"/>
      <c r="M133" s="47"/>
      <c r="N133" s="46"/>
      <c r="O133" s="46"/>
      <c r="P133" s="4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hidden="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hidden="1" customHeight="1">
      <c r="A135" s="2"/>
      <c r="B135" s="2"/>
      <c r="C135" s="2"/>
      <c r="D135" s="2"/>
      <c r="E135" s="2"/>
      <c r="F135" s="2"/>
      <c r="G135" s="2"/>
      <c r="H135" s="2"/>
      <c r="I135" s="2"/>
      <c r="J135" s="46"/>
      <c r="K135" s="46"/>
      <c r="L135" s="46"/>
      <c r="M135" s="46"/>
      <c r="N135" s="46"/>
      <c r="O135" s="46"/>
      <c r="P135" s="4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46"/>
      <c r="K136" s="46"/>
      <c r="L136" s="46"/>
      <c r="M136" s="46"/>
      <c r="N136" s="46"/>
      <c r="O136" s="46"/>
      <c r="P136" s="4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46"/>
      <c r="K137" s="46"/>
      <c r="L137" s="46"/>
      <c r="M137" s="46"/>
      <c r="N137" s="46"/>
      <c r="O137" s="46"/>
      <c r="P137" s="4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46"/>
      <c r="K138" s="46"/>
      <c r="L138" s="46"/>
      <c r="M138" s="46"/>
      <c r="N138" s="46"/>
      <c r="O138" s="46"/>
      <c r="P138" s="4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46"/>
      <c r="K139" s="46"/>
      <c r="L139" s="46"/>
      <c r="M139" s="46"/>
      <c r="N139" s="46"/>
      <c r="O139" s="46"/>
      <c r="P139" s="4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 t="s">
        <v>26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50"/>
      <c r="B143" s="51">
        <f ca="1">H96</f>
        <v>210604679</v>
      </c>
      <c r="C143" s="44" t="str">
        <f ca="1">RIGHT("000000000000"&amp;ROUND(B143,0),12)</f>
        <v>000210604679</v>
      </c>
      <c r="D143" s="44">
        <v>1</v>
      </c>
      <c r="E143" s="44">
        <v>2</v>
      </c>
      <c r="F143" s="44">
        <v>3</v>
      </c>
      <c r="G143" s="44">
        <v>4</v>
      </c>
      <c r="H143" s="44">
        <v>5</v>
      </c>
      <c r="I143" s="44">
        <v>6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50"/>
      <c r="B144" s="50"/>
      <c r="C144" s="52"/>
      <c r="D144" s="46">
        <f ca="1">VALUE(MID(C143,D143,1))</f>
        <v>0</v>
      </c>
      <c r="E144" s="46">
        <f ca="1">VALUE(MID(C143,E143,1))</f>
        <v>0</v>
      </c>
      <c r="F144" s="46">
        <f ca="1">VALUE(MID(C143,F143,1))</f>
        <v>0</v>
      </c>
      <c r="G144" s="46">
        <f ca="1">VALUE(MID(C143,G143,1))</f>
        <v>2</v>
      </c>
      <c r="H144" s="46">
        <f ca="1">VALUE(MID(C143,H143,1))</f>
        <v>1</v>
      </c>
      <c r="I144" s="46">
        <f ca="1">VALUE(MID(C143,I143,1))</f>
        <v>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50"/>
      <c r="B145" s="50"/>
      <c r="C145" s="52"/>
      <c r="D145" s="46">
        <f ca="1">SUM(D144)</f>
        <v>0</v>
      </c>
      <c r="E145" s="46">
        <f ca="1">SUM(D144:E144)</f>
        <v>0</v>
      </c>
      <c r="F145" s="46">
        <f ca="1">SUM(D144:F144)</f>
        <v>0</v>
      </c>
      <c r="G145" s="46">
        <f ca="1">SUM(G144)</f>
        <v>2</v>
      </c>
      <c r="H145" s="46">
        <f ca="1">SUM(G144:H144)</f>
        <v>3</v>
      </c>
      <c r="I145" s="46">
        <f ca="1">SUM(G144:I144)</f>
        <v>3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50"/>
      <c r="B146" s="50"/>
      <c r="C146" s="52"/>
      <c r="D146" s="48" t="str">
        <f ca="1">IF(D144=0,"",CHOOSE(D144,"một","hai","ba","bốn","năm","sáu","bảy","tám","chín"))</f>
        <v/>
      </c>
      <c r="E146" s="48" t="str">
        <f ca="1">IF(E144=0,IF(AND(D144&lt;&gt;0,F144&lt;&gt;0),"lẻ",""),CHOOSE(E144,"mười","hai","ba","bốn","năm","sáu","bảy","tám","chín"))</f>
        <v/>
      </c>
      <c r="F146" s="48" t="str">
        <f ca="1">IF(F144=0,"",CHOOSE(F144,IF(E144&gt;1,"mốt","một"),"hai","ba","bốn",IF(E144=0,"năm","lăm"),"sáu","bảy","tám","chín"))</f>
        <v/>
      </c>
      <c r="G146" s="48" t="str">
        <f ca="1">IF(G144=0,"",CHOOSE(G144,"một","hai","ba","bốn","năm","sáu","bảy","tám","chín"))</f>
        <v>hai</v>
      </c>
      <c r="H146" s="48" t="str">
        <f ca="1">IF(H144=0,IF(AND(G144&lt;&gt;0,I144&lt;&gt;0),"lẻ",""),CHOOSE(H144,"mười","hai","ba","bốn","năm","sáu","bảy","tám","chín"))</f>
        <v>mười</v>
      </c>
      <c r="I146" s="48" t="str">
        <f ca="1">IF(I144=0,"",CHOOSE(I144,IF(H144&gt;1,"mốt","một"),"hai","ba","bốn",IF(H144=0,"năm","lăm"),"sáu","bảy","tám","chín"))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50"/>
      <c r="B147" s="50"/>
      <c r="C147" s="52"/>
      <c r="D147" s="48" t="str">
        <f ca="1">IF(D144=0,"","trăm")</f>
        <v/>
      </c>
      <c r="E147" s="48" t="str">
        <f ca="1">IF(E144=0,"",IF(E144=1,"","mươi"))</f>
        <v/>
      </c>
      <c r="F147" s="48" t="str">
        <f ca="1">IF(AND(F144=0,F145=0),"","tỷ")</f>
        <v/>
      </c>
      <c r="G147" s="48" t="str">
        <f ca="1">IF(G144=0,"","trăm")</f>
        <v>trăm</v>
      </c>
      <c r="H147" s="48" t="str">
        <f ca="1">IF(H144=0,"",IF(H144=1,"","mươi"))</f>
        <v/>
      </c>
      <c r="I147" s="48" t="str">
        <f ca="1">IF(AND(I144=0,I145=0),"","triệu")</f>
        <v>triệu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53"/>
      <c r="B148" s="4"/>
      <c r="C148" s="4"/>
      <c r="D148" s="54" t="str">
        <f ca="1">UPPER(LEFT(TRIM(IF(B143=0,"không đồng.",D146&amp;" "&amp;D147&amp;" "&amp;E146&amp;" "&amp;E147&amp;" "&amp;F146&amp;" "&amp;F147&amp;" "&amp;G146&amp;" "&amp;G147&amp;" "&amp;H146&amp;" "&amp;H147&amp;" "&amp;I146&amp;" "&amp;I147&amp;" "&amp;J131&amp;" "&amp;J132&amp;" "&amp;K131&amp;" "&amp;K132&amp;" "&amp;L131&amp;" "&amp;L132&amp;" "&amp;M131&amp;" "&amp;M132&amp;" "&amp;N131&amp;" "&amp;N132&amp;" "&amp;O131&amp;" "&amp;O132)),1))&amp;RIGHT(TRIM(IF(B143=0,"không đồng.",D146&amp;" "&amp;D147&amp;" "&amp;E146&amp;" "&amp;E147&amp;" "&amp;F146&amp;" "&amp;F147&amp;" "&amp;G146&amp;" "&amp;G147&amp;" "&amp;H146&amp;" "&amp;H147&amp;" "&amp;I146&amp;" "&amp;I147&amp;" "&amp;J131&amp;" "&amp;J132&amp;" "&amp;K131&amp;" "&amp;K132&amp;" "&amp;L131&amp;" "&amp;L132&amp;" "&amp;M131&amp;" "&amp;M132&amp;" "&amp;N131&amp;" "&amp;N132&amp;" "&amp;O131&amp;" "&amp;O132)),LEN(TRIM(IF(B143=0,"không đồng.",D146&amp;" "&amp;D147&amp;" "&amp;E146&amp;" "&amp;E147&amp;" "&amp;F146&amp;" "&amp;F147&amp;" "&amp;G146&amp;" "&amp;G147&amp;" "&amp;H146&amp;" "&amp;H147&amp;" "&amp;I146&amp;" "&amp;I147&amp;" "&amp;J131&amp;" "&amp;J132&amp;" "&amp;K131&amp;" "&amp;K132&amp;" "&amp;L131&amp;" "&amp;L132&amp;" "&amp;M131&amp;" "&amp;M132&amp;" "&amp;N131&amp;" "&amp;N132&amp;" "&amp;O131&amp;" "&amp;O132)))-1)</f>
        <v>Hai trăm mười triệu sáu trăm lẻ bốn ngàn sáu trăm bảy mươi chín đồng.</v>
      </c>
      <c r="E148" s="54"/>
      <c r="F148" s="46"/>
      <c r="G148" s="46"/>
      <c r="H148" s="46"/>
      <c r="I148" s="4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" customHeight="1">
      <c r="A1040" s="2"/>
      <c r="B1040" s="2"/>
      <c r="C1040" s="2"/>
      <c r="D1040" s="2"/>
      <c r="E1040" s="2"/>
      <c r="F1040" s="2"/>
      <c r="G1040" s="2"/>
      <c r="H1040" s="2"/>
      <c r="I1040" s="2"/>
    </row>
    <row r="1041" spans="1:9" ht="15" customHeight="1">
      <c r="A1041" s="2"/>
      <c r="B1041" s="2"/>
      <c r="C1041" s="2"/>
      <c r="D1041" s="2"/>
      <c r="E1041" s="2"/>
      <c r="F1041" s="2"/>
      <c r="G1041" s="2"/>
      <c r="H1041" s="2"/>
      <c r="I1041" s="2"/>
    </row>
    <row r="1042" spans="1:9" ht="15" customHeight="1">
      <c r="A1042" s="2"/>
      <c r="B1042" s="2"/>
      <c r="C1042" s="2"/>
      <c r="D1042" s="2"/>
      <c r="E1042" s="2"/>
      <c r="F1042" s="2"/>
      <c r="G1042" s="2"/>
      <c r="H1042" s="2"/>
      <c r="I1042" s="2"/>
    </row>
    <row r="1043" spans="1:9" ht="15" customHeight="1">
      <c r="A1043" s="2"/>
      <c r="B1043" s="2"/>
      <c r="C1043" s="2"/>
      <c r="D1043" s="2"/>
      <c r="E1043" s="2"/>
      <c r="F1043" s="2"/>
      <c r="G1043" s="2"/>
      <c r="H1043" s="2"/>
      <c r="I1043" s="2"/>
    </row>
    <row r="1044" spans="1:9" ht="15" customHeight="1">
      <c r="A1044" s="2"/>
      <c r="B1044" s="2"/>
      <c r="C1044" s="2"/>
      <c r="D1044" s="2"/>
      <c r="E1044" s="2"/>
      <c r="F1044" s="2"/>
      <c r="G1044" s="2"/>
      <c r="H1044" s="2"/>
      <c r="I1044" s="2"/>
    </row>
    <row r="1045" spans="1:9" ht="15" customHeight="1">
      <c r="A1045" s="2"/>
      <c r="B1045" s="2"/>
      <c r="C1045" s="2"/>
      <c r="D1045" s="2"/>
      <c r="E1045" s="2"/>
      <c r="F1045" s="2"/>
      <c r="G1045" s="2"/>
      <c r="H1045" s="2"/>
      <c r="I1045" s="2"/>
    </row>
    <row r="1046" spans="1:9" ht="15" customHeight="1">
      <c r="A1046" s="2"/>
      <c r="B1046" s="2"/>
      <c r="C1046" s="2"/>
      <c r="D1046" s="2"/>
      <c r="E1046" s="2"/>
      <c r="F1046" s="2"/>
      <c r="G1046" s="2"/>
      <c r="H1046" s="2"/>
      <c r="I1046" s="2"/>
    </row>
    <row r="1047" spans="1:9" ht="15" customHeight="1">
      <c r="A1047" s="2"/>
      <c r="B1047" s="2"/>
      <c r="C1047" s="2"/>
      <c r="D1047" s="2"/>
      <c r="E1047" s="2"/>
      <c r="F1047" s="2"/>
      <c r="G1047" s="2"/>
      <c r="H1047" s="2"/>
      <c r="I1047" s="2"/>
    </row>
    <row r="1048" spans="1:9" ht="15" customHeight="1">
      <c r="A1048" s="2"/>
      <c r="B1048" s="2"/>
      <c r="C1048" s="2"/>
      <c r="D1048" s="2"/>
      <c r="E1048" s="2"/>
      <c r="F1048" s="2"/>
      <c r="G1048" s="2"/>
      <c r="H1048" s="2"/>
      <c r="I1048" s="2"/>
    </row>
    <row r="1049" spans="1:9" ht="15" customHeight="1">
      <c r="A1049" s="2"/>
      <c r="B1049" s="2"/>
      <c r="C1049" s="2"/>
      <c r="D1049" s="2"/>
      <c r="E1049" s="2"/>
      <c r="F1049" s="2"/>
      <c r="G1049" s="2"/>
      <c r="H1049" s="2"/>
      <c r="I1049" s="2"/>
    </row>
    <row r="1050" spans="1:9" ht="15" customHeight="1">
      <c r="A1050" s="2"/>
      <c r="B1050" s="2"/>
      <c r="C1050" s="2"/>
      <c r="D1050" s="2"/>
      <c r="E1050" s="2"/>
      <c r="F1050" s="2"/>
      <c r="G1050" s="2"/>
      <c r="H1050" s="2"/>
      <c r="I1050" s="2"/>
    </row>
    <row r="1051" spans="1:9" ht="15" customHeight="1">
      <c r="A1051" s="2"/>
      <c r="B1051" s="2"/>
      <c r="C1051" s="2"/>
      <c r="D1051" s="2"/>
      <c r="E1051" s="2"/>
      <c r="F1051" s="2"/>
      <c r="G1051" s="2"/>
      <c r="H1051" s="2"/>
      <c r="I1051" s="2"/>
    </row>
  </sheetData>
  <mergeCells count="16">
    <mergeCell ref="A105:B105"/>
    <mergeCell ref="G105:H105"/>
    <mergeCell ref="A148:C148"/>
    <mergeCell ref="E13:F13"/>
    <mergeCell ref="G13:G14"/>
    <mergeCell ref="H13:H14"/>
    <mergeCell ref="I13:I14"/>
    <mergeCell ref="A99:B99"/>
    <mergeCell ref="C99:D99"/>
    <mergeCell ref="G99:H99"/>
    <mergeCell ref="A6:D6"/>
    <mergeCell ref="B7:D7"/>
    <mergeCell ref="A13:A14"/>
    <mergeCell ref="B13:B14"/>
    <mergeCell ref="C13:C14"/>
    <mergeCell ref="D13:D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Phiếu nhập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 Hoai</dc:creator>
  <cp:lastModifiedBy>Mach Hoai</cp:lastModifiedBy>
  <dcterms:created xsi:type="dcterms:W3CDTF">2026-06-02T11:40:50Z</dcterms:created>
  <dcterms:modified xsi:type="dcterms:W3CDTF">2026-06-02T11:42:00Z</dcterms:modified>
</cp:coreProperties>
</file>