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ithub\bduck-system\outputs\01a0c80b-7cf7-7261-86de-5bd0f4a1829c\"/>
    </mc:Choice>
  </mc:AlternateContent>
  <xr:revisionPtr revIDLastSave="0" documentId="13_ncr:1_{2FB0A10B-13CE-4377-8AC8-1F3E28B6F393}"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24" i="1" l="1"/>
  <c r="AM24" i="1"/>
  <c r="AL24" i="1"/>
  <c r="AK24" i="1"/>
  <c r="AJ24" i="1"/>
  <c r="AN21" i="1"/>
  <c r="AM21" i="1"/>
  <c r="AL21" i="1"/>
  <c r="AK21" i="1"/>
  <c r="AJ21" i="1"/>
  <c r="AN18" i="1"/>
  <c r="AM18" i="1"/>
  <c r="AL18" i="1"/>
  <c r="AK18" i="1"/>
  <c r="AJ18" i="1"/>
  <c r="AO18" i="1" s="1"/>
  <c r="AN15" i="1"/>
  <c r="AM15" i="1"/>
  <c r="AL15" i="1"/>
  <c r="AK15" i="1"/>
  <c r="AJ15" i="1"/>
  <c r="AN27" i="1" l="1"/>
  <c r="AO21" i="1"/>
  <c r="AO24" i="1"/>
  <c r="AM27" i="1"/>
  <c r="AO15" i="1"/>
  <c r="AK27" i="1"/>
  <c r="AL27" i="1"/>
  <c r="AO27" i="1"/>
  <c r="AJ27" i="1"/>
</calcChain>
</file>

<file path=xl/sharedStrings.xml><?xml version="1.0" encoding="utf-8"?>
<sst xmlns="http://schemas.openxmlformats.org/spreadsheetml/2006/main" count="100" uniqueCount="47">
  <si>
    <t>CÔNG TY TNHH JOYWORLD ENTERTAINMENT</t>
  </si>
  <si>
    <t>Địa chỉ: 154A Nguyễn Thị Thập, Phường Tân Thuận, Thành phố Hồ Chí Minh</t>
  </si>
  <si>
    <t>Mã số thuế: 0318958531</t>
  </si>
  <si>
    <t>BẢNG CHẤM CÔNG</t>
  </si>
  <si>
    <t>Tháng 09 năm 2026</t>
  </si>
  <si>
    <t>Ký hiệu trạng thái
x: Chấm công   P: Nghỉ phép   sP: Nghỉ phép sáng   cP: Nghỉ phép chiều
KP: Nghỉ không phép   N0: Nghỉ không lương   CL: Công ty cho nghỉ hưởng lương</t>
  </si>
  <si>
    <t>Chú thích cột tổng hợp
(1) Ngày công thực tế   (2) Nghỉ phép có lương   (3) Nghỉ không phép
(4) Nghỉ không lương   (5) Công ty cho nghỉ hưởng lương   (6) Công tính lương = (1) + (2) + (5)</t>
  </si>
  <si>
    <t>STT</t>
  </si>
  <si>
    <t>Họ và tên</t>
  </si>
  <si>
    <t>Cơ sở</t>
  </si>
  <si>
    <t>Dòng dữ liệu</t>
  </si>
  <si>
    <t>Ngày trong tháng</t>
  </si>
  <si>
    <t>(1)</t>
  </si>
  <si>
    <t>(2)</t>
  </si>
  <si>
    <t>(3)</t>
  </si>
  <si>
    <t>(4)</t>
  </si>
  <si>
    <t>(5)</t>
  </si>
  <si>
    <t>(6)</t>
  </si>
  <si>
    <t>T3</t>
  </si>
  <si>
    <t>T4</t>
  </si>
  <si>
    <t>T5</t>
  </si>
  <si>
    <t>T6</t>
  </si>
  <si>
    <t>T7</t>
  </si>
  <si>
    <t>CN</t>
  </si>
  <si>
    <t>T2</t>
  </si>
  <si>
    <t>—</t>
  </si>
  <si>
    <t>Nguyễn Thị Ngoãn</t>
  </si>
  <si>
    <t>Văn phòng JOY WORLD</t>
  </si>
  <si>
    <t>Trạng thái</t>
  </si>
  <si>
    <t>x</t>
  </si>
  <si>
    <t>P</t>
  </si>
  <si>
    <t>Giờ check-in</t>
  </si>
  <si>
    <t>Xin đi trễ</t>
  </si>
  <si>
    <t>Mạch Lâm Quốc Hoài</t>
  </si>
  <si>
    <t>cP</t>
  </si>
  <si>
    <t>08:40 - Kẹt xe</t>
  </si>
  <si>
    <t>Nguyễn Thị Thùy Ngân</t>
  </si>
  <si>
    <t>sP</t>
  </si>
  <si>
    <t>CL</t>
  </si>
  <si>
    <t>09:00 - Việc gia đình</t>
  </si>
  <si>
    <t>Trần Thị Thu Thảo</t>
  </si>
  <si>
    <t>N0</t>
  </si>
  <si>
    <t>KP</t>
  </si>
  <si>
    <t>08:30 - Kẹt xe</t>
  </si>
  <si>
    <t>Dữ liệu trong file này là dữ liệu giả lập để minh họa cách thể hiện giờ check-in và thông tin xin đi trễ.</t>
  </si>
  <si>
    <t>Giờ check-in: thời gian vào làm thực tế
Xin đi trễ: giờ dự kiến - lý do đã báo
Ô vàng: check-in sau 08:15 (ngưỡng minh họa)</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</si>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</sst>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hh:mm"/>
  </numFmts>
  <fonts count="15" x14ac:knownFonts="1">
    <font>
      <sz val="11"/>
      <color theme="1"/>
      <name val="Aptos Narrow"/>
    </font>
    <font>
      <sz val="11"/>
      <color theme="1"/>
      <name val="Times New Roman"/>
      <family val="1"/>
    </font>
    <font>
      <sz val="10"/>
      <color rgb="FF1F2937"/>
      <name val="Arial"/>
      <family val="2"/>
    </font>
    <font>
      <b/>
      <sz val="12"/>
      <color rgb="FF1F4E78"/>
      <name val="Arial"/>
      <family val="2"/>
    </font>
    <font>
      <sz val="9"/>
      <color rgb="FF475569"/>
      <name val="Arial"/>
      <family val="2"/>
    </font>
    <font>
      <b/>
      <sz val="16"/>
      <color rgb="FF17365D"/>
      <name val="Arial"/>
      <family val="2"/>
    </font>
    <font>
      <i/>
      <sz val="11"/>
      <color rgb="FF475569"/>
      <name val="Arial"/>
      <family val="2"/>
    </font>
    <font>
      <sz val="9"/>
      <color rgb="FF334155"/>
      <name val="Arial"/>
      <family val="2"/>
    </font>
    <font>
      <b/>
      <sz val="9"/>
      <color rgb="FFFFFFFF"/>
      <name val="Arial"/>
      <family val="2"/>
    </font>
    <font>
      <b/>
      <sz val="9"/>
      <color rgb="FF475569"/>
      <name val="Arial"/>
      <family val="2"/>
    </font>
    <font>
      <b/>
      <sz val="10"/>
      <color rgb="FF1E3A8A"/>
      <name val="Arial"/>
      <family val="2"/>
    </font>
    <font>
      <sz val="8"/>
      <color rgb="FF9A3412"/>
      <name val="Arial"/>
      <family val="2"/>
    </font>
    <font>
      <b/>
      <sz val="10"/>
      <color rgb="FFFFFFFF"/>
      <name val="Arial"/>
      <family val="2"/>
    </font>
    <font>
      <i/>
      <sz val="9"/>
      <color rgb="FF64748B"/>
      <name val="Arial"/>
      <family val="2"/>
    </font>
    <font>
      <b/>
      <sz val="9"/>
      <color theme="4"/>
      <name val="Arial"/>
      <family val="2"/>
    </font>
  </fonts>
  <fills count="13">
    <fill>
      <patternFill patternType="none"/>
    </fill>
    <fill>
      <patternFill patternType="gray125"/>
    </fill>
    <fill>
      <patternFill patternType="solid">
        <fgColor rgb="FFFFF7ED"/>
      </patternFill>
    </fill>
    <fill>
      <patternFill patternType="solid">
        <fgColor rgb="FFEFF6FF"/>
      </patternFill>
    </fill>
    <fill>
      <patternFill patternType="solid">
        <fgColor rgb="FFFFFBEB"/>
      </patternFill>
    </fill>
    <fill>
      <patternFill patternType="solid">
        <fgColor rgb="FFF8FAFC"/>
      </patternFill>
    </fill>
    <fill>
      <patternFill patternType="solid">
        <fgColor rgb="FF1F4E78"/>
      </patternFill>
    </fill>
    <fill>
      <patternFill patternType="solid">
        <fgColor rgb="FF4472C4"/>
      </patternFill>
    </fill>
    <fill>
      <patternFill patternType="solid">
        <fgColor rgb="FFFFFFFF"/>
      </patternFill>
    </fill>
    <fill>
      <patternFill patternType="solid">
        <fgColor rgb="FFF1F5F9"/>
      </patternFill>
    </fill>
    <fill>
      <patternFill patternType="solid">
        <fgColor rgb="FFE8F1FB"/>
      </patternFill>
    </fill>
    <fill>
      <patternFill patternType="solid">
        <fgColor rgb="FFE5E7EB"/>
      </patternFill>
    </fill>
    <fill>
      <patternFill patternType="solid">
        <fgColor rgb="FF17365D"/>
      </patternFill>
    </fill>
  </fills>
  <borders count="31">
    <border>
      <left/>
      <right/>
      <top/>
      <bottom/>
      <diagonal/>
    </border>
    <border>
      <left style="thin">
        <color rgb="FF93C5FD"/>
      </left>
      <right/>
      <top style="thin">
        <color rgb="FF93C5FD"/>
      </top>
      <bottom/>
      <diagonal/>
    </border>
    <border>
      <left/>
      <right/>
      <top style="thin">
        <color rgb="FF93C5FD"/>
      </top>
      <bottom/>
      <diagonal/>
    </border>
    <border>
      <left/>
      <right style="thin">
        <color rgb="FF93C5FD"/>
      </right>
      <top style="thin">
        <color rgb="FF93C5FD"/>
      </top>
      <bottom/>
      <diagonal/>
    </border>
    <border>
      <left style="thin">
        <color rgb="FF93C5FD"/>
      </left>
      <right/>
      <top/>
      <bottom/>
      <diagonal/>
    </border>
    <border>
      <left/>
      <right style="thin">
        <color rgb="FF93C5FD"/>
      </right>
      <top/>
      <bottom/>
      <diagonal/>
    </border>
    <border>
      <left style="thin">
        <color rgb="FF93C5FD"/>
      </left>
      <right/>
      <top/>
      <bottom style="thin">
        <color rgb="FF93C5FD"/>
      </bottom>
      <diagonal/>
    </border>
    <border>
      <left/>
      <right/>
      <top/>
      <bottom style="thin">
        <color rgb="FF93C5FD"/>
      </bottom>
      <diagonal/>
    </border>
    <border>
      <left/>
      <right style="thin">
        <color rgb="FF93C5FD"/>
      </right>
      <top/>
      <bottom style="thin">
        <color rgb="FF93C5FD"/>
      </bottom>
      <diagonal/>
    </border>
    <border>
      <left style="thin">
        <color rgb="FFFCD34D"/>
      </left>
      <right/>
      <top style="thin">
        <color rgb="FFFCD34D"/>
      </top>
      <bottom/>
      <diagonal/>
    </border>
    <border>
      <left/>
      <right/>
      <top style="thin">
        <color rgb="FFFCD34D"/>
      </top>
      <bottom/>
      <diagonal/>
    </border>
    <border>
      <left/>
      <right style="thin">
        <color rgb="FFFCD34D"/>
      </right>
      <top style="thin">
        <color rgb="FFFCD34D"/>
      </top>
      <bottom/>
      <diagonal/>
    </border>
    <border>
      <left style="thin">
        <color rgb="FFFCD34D"/>
      </left>
      <right/>
      <top/>
      <bottom/>
      <diagonal/>
    </border>
    <border>
      <left/>
      <right style="thin">
        <color rgb="FFFCD34D"/>
      </right>
      <top/>
      <bottom/>
      <diagonal/>
    </border>
    <border>
      <left style="thin">
        <color rgb="FFFCD34D"/>
      </left>
      <right/>
      <top/>
      <bottom style="thin">
        <color rgb="FFFCD34D"/>
      </bottom>
      <diagonal/>
    </border>
    <border>
      <left/>
      <right/>
      <top/>
      <bottom style="thin">
        <color rgb="FFFCD34D"/>
      </bottom>
      <diagonal/>
    </border>
    <border>
      <left/>
      <right style="thin">
        <color rgb="FFFCD34D"/>
      </right>
      <top/>
      <bottom style="thin">
        <color rgb="FFFCD34D"/>
      </bottom>
      <diagonal/>
    </border>
    <border>
      <left style="thin">
        <color rgb="FFCBD5E1"/>
      </left>
      <right/>
      <top style="thin">
        <color rgb="FFCBD5E1"/>
      </top>
      <bottom/>
      <diagonal/>
    </border>
    <border>
      <left/>
      <right/>
      <top style="thin">
        <color rgb="FFCBD5E1"/>
      </top>
      <bottom/>
      <diagonal/>
    </border>
    <border>
      <left/>
      <right style="thin">
        <color rgb="FFCBD5E1"/>
      </right>
      <top style="thin">
        <color rgb="FFCBD5E1"/>
      </top>
      <bottom/>
      <diagonal/>
    </border>
    <border>
      <left style="thin">
        <color rgb="FFCBD5E1"/>
      </left>
      <right/>
      <top/>
      <bottom/>
      <diagonal/>
    </border>
    <border>
      <left/>
      <right style="thin">
        <color rgb="FFCBD5E1"/>
      </right>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FFFFFF"/>
      </left>
      <right style="thin">
        <color rgb="FFFFFFFF"/>
      </right>
      <top style="thin">
        <color rgb="FFFFFFFF"/>
      </top>
      <bottom style="thin">
        <color rgb="FFFFFFFF"/>
      </bottom>
      <diagonal/>
    </border>
    <border>
      <left style="thin">
        <color rgb="FFCBD5E1"/>
      </left>
      <right style="thin">
        <color rgb="FFCBD5E1"/>
      </right>
      <top style="thin">
        <color rgb="FFCBD5E1"/>
      </top>
      <bottom style="thin">
        <color rgb="FFCBD5E1"/>
      </bottom>
      <diagonal/>
    </border>
    <border>
      <left style="thin">
        <color rgb="FFBFDBFE"/>
      </left>
      <right style="thin">
        <color rgb="FFBFDBFE"/>
      </right>
      <top style="thin">
        <color rgb="FFBFDBFE"/>
      </top>
      <bottom style="thin">
        <color rgb="FFBFDBFE"/>
      </bottom>
      <diagonal/>
    </border>
    <border>
      <left style="thin">
        <color rgb="FFCBD5E1"/>
      </left>
      <right style="thin">
        <color rgb="FFCBD5E1"/>
      </right>
      <top style="thin">
        <color rgb="FFCBD5E1"/>
      </top>
      <bottom style="medium">
        <color rgb="FF94A3B8"/>
      </bottom>
      <diagonal/>
    </border>
    <border>
      <left style="thin">
        <color rgb="FFBFDBFE"/>
      </left>
      <right style="thin">
        <color rgb="FFBFDBFE"/>
      </right>
      <top style="thin">
        <color rgb="FFCBD5E1"/>
      </top>
      <bottom style="medium">
        <color rgb="FF94A3B8"/>
      </bottom>
      <diagonal/>
    </border>
    <border>
      <left style="thin">
        <color rgb="FFBFDBFE"/>
      </left>
      <right style="thin">
        <color rgb="FFCBD5E1"/>
      </right>
      <top style="thin">
        <color rgb="FFCBD5E1"/>
      </top>
      <bottom style="medium">
        <color rgb="FF94A3B8"/>
      </bottom>
      <diagonal/>
    </border>
  </borders>
  <cellStyleXfs count="1">
    <xf numFmtId="0" fontId="0" fillId="0" borderId="0"/>
  </cellStyleXfs>
  <cellXfs count="67">
    <xf numFmtId="0" fontId="0" fillId="0" borderId="0" xfId="0"/>
    <xf numFmtId="0" fontId="1" fillId="0" borderId="0" xfId="0" applyFont="1"/>
    <xf numFmtId="0" fontId="2" fillId="0" borderId="0" xfId="0" applyFont="1" applyAlignment="1">
      <alignment vertical="center"/>
    </xf>
    <xf numFmtId="0" fontId="8" fillId="7" borderId="25" xfId="0" applyFont="1" applyFill="1" applyBorder="1" applyAlignment="1">
      <alignment horizontal="center" vertical="center" wrapText="1"/>
    </xf>
    <xf numFmtId="0" fontId="2" fillId="5" borderId="26" xfId="0" applyFont="1" applyFill="1" applyBorder="1" applyAlignment="1">
      <alignment horizontal="center" vertical="center"/>
    </xf>
    <xf numFmtId="0" fontId="9" fillId="5" borderId="26" xfId="0" applyFont="1" applyFill="1" applyBorder="1" applyAlignment="1">
      <alignment horizontal="center" vertical="center"/>
    </xf>
    <xf numFmtId="0" fontId="9" fillId="8" borderId="26" xfId="0" applyFont="1" applyFill="1" applyBorder="1" applyAlignment="1">
      <alignment horizontal="center" vertical="center"/>
    </xf>
    <xf numFmtId="165" fontId="2" fillId="8" borderId="26" xfId="0" applyNumberFormat="1" applyFont="1" applyFill="1" applyBorder="1" applyAlignment="1">
      <alignment horizontal="center" vertical="center"/>
    </xf>
    <xf numFmtId="0" fontId="9" fillId="2" borderId="28" xfId="0" applyFont="1" applyFill="1" applyBorder="1" applyAlignment="1">
      <alignment horizontal="center" vertical="center"/>
    </xf>
    <xf numFmtId="0" fontId="11" fillId="2" borderId="28" xfId="0" applyFont="1" applyFill="1" applyBorder="1" applyAlignment="1">
      <alignment horizontal="center" vertical="center" wrapText="1"/>
    </xf>
    <xf numFmtId="0" fontId="2" fillId="9" borderId="26" xfId="0" applyFont="1" applyFill="1" applyBorder="1" applyAlignment="1">
      <alignment horizontal="center" vertical="center"/>
    </xf>
    <xf numFmtId="0" fontId="9" fillId="9" borderId="26" xfId="0" applyFont="1" applyFill="1" applyBorder="1" applyAlignment="1">
      <alignment horizontal="center" vertical="center"/>
    </xf>
    <xf numFmtId="0" fontId="2" fillId="10" borderId="26" xfId="0" applyFont="1" applyFill="1" applyBorder="1" applyAlignment="1">
      <alignment horizontal="center" vertical="center"/>
    </xf>
    <xf numFmtId="165" fontId="2" fillId="10" borderId="26" xfId="0" applyNumberFormat="1" applyFont="1" applyFill="1" applyBorder="1" applyAlignment="1">
      <alignment horizontal="center" vertical="center"/>
    </xf>
    <xf numFmtId="0" fontId="11" fillId="10" borderId="28" xfId="0" applyFont="1" applyFill="1" applyBorder="1" applyAlignment="1">
      <alignment horizontal="center" vertical="center" wrapText="1"/>
    </xf>
    <xf numFmtId="0" fontId="2" fillId="11" borderId="26" xfId="0" applyFont="1" applyFill="1" applyBorder="1" applyAlignment="1">
      <alignment horizontal="center" vertical="center"/>
    </xf>
    <xf numFmtId="165" fontId="2" fillId="11" borderId="26" xfId="0" applyNumberFormat="1" applyFont="1" applyFill="1" applyBorder="1" applyAlignment="1">
      <alignment horizontal="center" vertical="center"/>
    </xf>
    <xf numFmtId="0" fontId="11" fillId="11" borderId="28" xfId="0" applyFont="1" applyFill="1" applyBorder="1" applyAlignment="1">
      <alignment horizontal="center" vertical="center" wrapText="1"/>
    </xf>
    <xf numFmtId="164" fontId="12" fillId="12" borderId="25" xfId="0" applyNumberFormat="1" applyFont="1" applyFill="1" applyBorder="1" applyAlignment="1">
      <alignment horizontal="center" vertical="center"/>
    </xf>
    <xf numFmtId="0" fontId="14" fillId="10" borderId="25" xfId="0" applyFont="1" applyFill="1" applyBorder="1" applyAlignment="1">
      <alignment horizontal="center" vertical="center" wrapText="1"/>
    </xf>
    <xf numFmtId="0" fontId="14" fillId="11" borderId="25" xfId="0" applyFont="1" applyFill="1" applyBorder="1" applyAlignment="1">
      <alignment horizontal="center" vertical="center" wrapText="1"/>
    </xf>
    <xf numFmtId="164" fontId="12" fillId="12" borderId="25" xfId="0" applyNumberFormat="1" applyFont="1" applyFill="1" applyBorder="1" applyAlignment="1">
      <alignment horizontal="center" vertical="center"/>
    </xf>
    <xf numFmtId="0" fontId="13" fillId="0" borderId="0" xfId="0" applyFont="1" applyAlignment="1">
      <alignment horizontal="left" vertical="center"/>
    </xf>
    <xf numFmtId="164" fontId="10" fillId="3" borderId="27" xfId="0" applyNumberFormat="1" applyFont="1" applyFill="1" applyBorder="1" applyAlignment="1">
      <alignment horizontal="center" vertical="center"/>
    </xf>
    <xf numFmtId="164" fontId="10" fillId="3" borderId="29" xfId="0" applyNumberFormat="1" applyFont="1" applyFill="1" applyBorder="1" applyAlignment="1">
      <alignment horizontal="center" vertical="center"/>
    </xf>
    <xf numFmtId="164" fontId="10" fillId="3" borderId="30" xfId="0" applyNumberFormat="1" applyFont="1" applyFill="1" applyBorder="1" applyAlignment="1">
      <alignment horizontal="center" vertical="center"/>
    </xf>
    <xf numFmtId="0" fontId="2" fillId="9" borderId="26" xfId="0" applyFont="1" applyFill="1" applyBorder="1" applyAlignment="1">
      <alignment horizontal="center" vertical="center"/>
    </xf>
    <xf numFmtId="0" fontId="2" fillId="0" borderId="26" xfId="0" applyFont="1" applyBorder="1" applyAlignment="1">
      <alignment horizontal="center" vertical="center"/>
    </xf>
    <xf numFmtId="0" fontId="2" fillId="0" borderId="28" xfId="0" applyFont="1" applyBorder="1" applyAlignment="1">
      <alignment horizontal="center" vertical="center"/>
    </xf>
    <xf numFmtId="0" fontId="2" fillId="9" borderId="26" xfId="0" applyFont="1" applyFill="1" applyBorder="1" applyAlignment="1">
      <alignment horizontal="left" vertical="center"/>
    </xf>
    <xf numFmtId="0" fontId="2" fillId="0" borderId="26" xfId="0" applyFont="1" applyBorder="1" applyAlignment="1">
      <alignment horizontal="left" vertical="center"/>
    </xf>
    <xf numFmtId="0" fontId="2" fillId="0" borderId="28" xfId="0" applyFont="1" applyBorder="1" applyAlignment="1">
      <alignment horizontal="left" vertical="center"/>
    </xf>
    <xf numFmtId="0" fontId="2" fillId="5" borderId="26" xfId="0" applyFont="1" applyFill="1" applyBorder="1" applyAlignment="1">
      <alignment horizontal="center" vertical="center"/>
    </xf>
    <xf numFmtId="0" fontId="2" fillId="5" borderId="26" xfId="0" applyFont="1" applyFill="1" applyBorder="1" applyAlignment="1">
      <alignment horizontal="left" vertical="center"/>
    </xf>
    <xf numFmtId="0" fontId="6" fillId="0" borderId="0" xfId="0" applyFont="1" applyAlignment="1">
      <alignment horizontal="center" vertical="center"/>
    </xf>
    <xf numFmtId="0" fontId="7" fillId="3" borderId="1"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4"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4" borderId="9" xfId="0" applyFont="1" applyFill="1" applyBorder="1" applyAlignment="1">
      <alignment horizontal="left" vertical="center" wrapText="1"/>
    </xf>
    <xf numFmtId="0" fontId="7" fillId="4" borderId="10" xfId="0" applyFont="1" applyFill="1" applyBorder="1" applyAlignment="1">
      <alignment horizontal="left" vertical="center" wrapText="1"/>
    </xf>
    <xf numFmtId="0" fontId="7" fillId="4" borderId="11" xfId="0" applyFont="1" applyFill="1" applyBorder="1" applyAlignment="1">
      <alignment horizontal="left" vertical="center" wrapText="1"/>
    </xf>
    <xf numFmtId="0" fontId="7" fillId="4" borderId="12" xfId="0" applyFont="1" applyFill="1" applyBorder="1" applyAlignment="1">
      <alignment horizontal="left" vertical="center" wrapText="1"/>
    </xf>
    <xf numFmtId="0" fontId="7" fillId="4" borderId="0" xfId="0" applyFont="1" applyFill="1" applyAlignment="1">
      <alignment horizontal="left" vertical="center" wrapText="1"/>
    </xf>
    <xf numFmtId="0" fontId="7" fillId="4" borderId="1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7" fillId="4" borderId="15" xfId="0" applyFont="1" applyFill="1" applyBorder="1" applyAlignment="1">
      <alignment horizontal="left" vertical="center" wrapText="1"/>
    </xf>
    <xf numFmtId="0" fontId="7" fillId="4" borderId="16" xfId="0" applyFont="1" applyFill="1" applyBorder="1" applyAlignment="1">
      <alignment horizontal="left" vertical="center" wrapText="1"/>
    </xf>
    <xf numFmtId="0" fontId="7" fillId="5" borderId="17" xfId="0" applyFont="1" applyFill="1" applyBorder="1" applyAlignment="1">
      <alignment horizontal="left" vertical="center" wrapText="1"/>
    </xf>
    <xf numFmtId="0" fontId="7" fillId="5" borderId="18" xfId="0" applyFont="1" applyFill="1" applyBorder="1" applyAlignment="1">
      <alignment horizontal="left" vertical="center" wrapText="1"/>
    </xf>
    <xf numFmtId="0" fontId="7" fillId="5" borderId="19" xfId="0" applyFont="1" applyFill="1" applyBorder="1" applyAlignment="1">
      <alignment horizontal="left" vertical="center" wrapText="1"/>
    </xf>
    <xf numFmtId="0" fontId="7" fillId="5" borderId="20"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21" xfId="0" applyFont="1" applyFill="1" applyBorder="1" applyAlignment="1">
      <alignment horizontal="left" vertical="center" wrapText="1"/>
    </xf>
    <xf numFmtId="0" fontId="7" fillId="5" borderId="22" xfId="0" applyFont="1" applyFill="1" applyBorder="1" applyAlignment="1">
      <alignment horizontal="left" vertical="center" wrapText="1"/>
    </xf>
    <xf numFmtId="0" fontId="7" fillId="5" borderId="23" xfId="0" applyFont="1" applyFill="1" applyBorder="1" applyAlignment="1">
      <alignment horizontal="left" vertical="center" wrapText="1"/>
    </xf>
    <xf numFmtId="0" fontId="7" fillId="5" borderId="24" xfId="0" applyFont="1" applyFill="1" applyBorder="1" applyAlignment="1">
      <alignment horizontal="left" vertical="center" wrapText="1"/>
    </xf>
    <xf numFmtId="0" fontId="8" fillId="6" borderId="25" xfId="0" applyFont="1" applyFill="1" applyBorder="1" applyAlignment="1">
      <alignment horizontal="center" vertical="center" wrapText="1"/>
    </xf>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5" fillId="0" borderId="0" xfId="0" applyFont="1" applyAlignment="1">
      <alignment horizontal="center" vertical="center"/>
    </xf>
  </cellXfs>
  <cellStyles count="1">
    <cellStyle name="Normal" xfId="0" builtinId="0"/>
  </cellStyles>
  <dxfs count="32">
    <dxf>
      <font>
        <b/>
        <color rgb="FFB45309"/>
      </font>
      <fill>
        <patternFill patternType="solid">
          <bgColor rgb="FFFEF3C7"/>
        </patternFill>
      </fill>
    </dxf>
    <dxf>
      <font>
        <b/>
        <color rgb="FF0F766E"/>
      </font>
      <fill>
        <patternFill patternType="solid">
          <bgColor rgb="FFCCFBF1"/>
        </patternFill>
      </fill>
    </dxf>
    <dxf>
      <font>
        <b/>
        <color rgb="FF374151"/>
      </font>
      <fill>
        <patternFill patternType="solid">
          <bgColor rgb="FFE5E7EB"/>
        </patternFill>
      </fill>
    </dxf>
    <dxf>
      <font>
        <b/>
        <color rgb="FFB91C1C"/>
      </font>
      <fill>
        <patternFill patternType="solid">
          <bgColor rgb="FFFEE2E2"/>
        </patternFill>
      </fill>
    </dxf>
    <dxf>
      <font>
        <b/>
        <color rgb="FF1D4ED8"/>
      </font>
      <fill>
        <patternFill patternType="solid">
          <bgColor rgb="FFDBEAFE"/>
        </patternFill>
      </fill>
    </dxf>
    <dxf>
      <font>
        <b/>
        <color rgb="FF1D4ED8"/>
      </font>
      <fill>
        <patternFill patternType="solid">
          <bgColor rgb="FFDBEAFE"/>
        </patternFill>
      </fill>
    </dxf>
    <dxf>
      <font>
        <b/>
        <color rgb="FF5B21B6"/>
      </font>
      <fill>
        <patternFill patternType="solid">
          <bgColor rgb="FFEDE9FE"/>
        </patternFill>
      </fill>
    </dxf>
    <dxf>
      <font>
        <b/>
        <color rgb="FF166534"/>
      </font>
      <fill>
        <patternFill patternType="solid">
          <bgColor rgb="FFDCFCE7"/>
        </patternFill>
      </fill>
    </dxf>
    <dxf>
      <font>
        <b/>
        <color rgb="FFB45309"/>
      </font>
      <fill>
        <patternFill patternType="solid">
          <bgColor rgb="FFFEF3C7"/>
        </patternFill>
      </fill>
    </dxf>
    <dxf>
      <font>
        <b/>
        <color rgb="FF0F766E"/>
      </font>
      <fill>
        <patternFill patternType="solid">
          <bgColor rgb="FFCCFBF1"/>
        </patternFill>
      </fill>
    </dxf>
    <dxf>
      <font>
        <b/>
        <color rgb="FF374151"/>
      </font>
      <fill>
        <patternFill patternType="solid">
          <bgColor rgb="FFE5E7EB"/>
        </patternFill>
      </fill>
    </dxf>
    <dxf>
      <font>
        <b/>
        <color rgb="FFB91C1C"/>
      </font>
      <fill>
        <patternFill patternType="solid">
          <bgColor rgb="FFFEE2E2"/>
        </patternFill>
      </fill>
    </dxf>
    <dxf>
      <font>
        <b/>
        <color rgb="FF1D4ED8"/>
      </font>
      <fill>
        <patternFill patternType="solid">
          <bgColor rgb="FFDBEAFE"/>
        </patternFill>
      </fill>
    </dxf>
    <dxf>
      <font>
        <b/>
        <color rgb="FF1D4ED8"/>
      </font>
      <fill>
        <patternFill patternType="solid">
          <bgColor rgb="FFDBEAFE"/>
        </patternFill>
      </fill>
    </dxf>
    <dxf>
      <font>
        <b/>
        <color rgb="FF5B21B6"/>
      </font>
      <fill>
        <patternFill patternType="solid">
          <bgColor rgb="FFEDE9FE"/>
        </patternFill>
      </fill>
    </dxf>
    <dxf>
      <font>
        <b/>
        <color rgb="FF166534"/>
      </font>
      <fill>
        <patternFill patternType="solid">
          <bgColor rgb="FFDCFCE7"/>
        </patternFill>
      </fill>
    </dxf>
    <dxf>
      <font>
        <b/>
        <color rgb="FFB45309"/>
      </font>
      <fill>
        <patternFill patternType="solid">
          <bgColor rgb="FFFEF3C7"/>
        </patternFill>
      </fill>
    </dxf>
    <dxf>
      <font>
        <b/>
        <color rgb="FF0F766E"/>
      </font>
      <fill>
        <patternFill patternType="solid">
          <bgColor rgb="FFCCFBF1"/>
        </patternFill>
      </fill>
    </dxf>
    <dxf>
      <font>
        <b/>
        <color rgb="FF374151"/>
      </font>
      <fill>
        <patternFill patternType="solid">
          <bgColor rgb="FFE5E7EB"/>
        </patternFill>
      </fill>
    </dxf>
    <dxf>
      <font>
        <b/>
        <color rgb="FFB91C1C"/>
      </font>
      <fill>
        <patternFill patternType="solid">
          <bgColor rgb="FFFEE2E2"/>
        </patternFill>
      </fill>
    </dxf>
    <dxf>
      <font>
        <b/>
        <color rgb="FF1D4ED8"/>
      </font>
      <fill>
        <patternFill patternType="solid">
          <bgColor rgb="FFDBEAFE"/>
        </patternFill>
      </fill>
    </dxf>
    <dxf>
      <font>
        <b/>
        <color rgb="FF1D4ED8"/>
      </font>
      <fill>
        <patternFill patternType="solid">
          <bgColor rgb="FFDBEAFE"/>
        </patternFill>
      </fill>
    </dxf>
    <dxf>
      <font>
        <b/>
        <color rgb="FF5B21B6"/>
      </font>
      <fill>
        <patternFill patternType="solid">
          <bgColor rgb="FFEDE9FE"/>
        </patternFill>
      </fill>
    </dxf>
    <dxf>
      <font>
        <b/>
        <color rgb="FF166534"/>
      </font>
      <fill>
        <patternFill patternType="solid">
          <bgColor rgb="FFDCFCE7"/>
        </patternFill>
      </fill>
    </dxf>
    <dxf>
      <font>
        <b/>
        <color rgb="FFB45309"/>
      </font>
      <fill>
        <patternFill patternType="solid">
          <bgColor rgb="FFFEF3C7"/>
        </patternFill>
      </fill>
    </dxf>
    <dxf>
      <font>
        <b/>
        <color rgb="FF0F766E"/>
      </font>
      <fill>
        <patternFill patternType="solid">
          <bgColor rgb="FFCCFBF1"/>
        </patternFill>
      </fill>
    </dxf>
    <dxf>
      <font>
        <b/>
        <color rgb="FF374151"/>
      </font>
      <fill>
        <patternFill patternType="solid">
          <bgColor rgb="FFE5E7EB"/>
        </patternFill>
      </fill>
    </dxf>
    <dxf>
      <font>
        <b/>
        <color rgb="FFB91C1C"/>
      </font>
      <fill>
        <patternFill patternType="solid">
          <bgColor rgb="FFFEE2E2"/>
        </patternFill>
      </fill>
    </dxf>
    <dxf>
      <font>
        <b/>
        <color rgb="FF1D4ED8"/>
      </font>
      <fill>
        <patternFill patternType="solid">
          <bgColor rgb="FFDBEAFE"/>
        </patternFill>
      </fill>
    </dxf>
    <dxf>
      <font>
        <b/>
        <color rgb="FF1D4ED8"/>
      </font>
      <fill>
        <patternFill patternType="solid">
          <bgColor rgb="FFDBEAFE"/>
        </patternFill>
      </fill>
    </dxf>
    <dxf>
      <font>
        <b/>
        <color rgb="FF5B21B6"/>
      </font>
      <fill>
        <patternFill patternType="solid">
          <bgColor rgb="FFEDE9FE"/>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AV29"/>
  <sheetViews>
    <sheetView showGridLines="0" tabSelected="1" workbookViewId="0">
      <pane xSplit="4" ySplit="14" topLeftCell="E15" activePane="bottomRight" state="frozen"/>
      <selection pane="topRight"/>
      <selection pane="bottomLeft"/>
      <selection pane="bottomRight" activeCell="S21" sqref="S21"/>
    </sheetView>
  </sheetViews>
  <sheetFormatPr defaultRowHeight="14.4" x14ac:dyDescent="0.3"/>
  <cols>
    <col min="1" max="1" width="5" style="1" customWidth="1"/>
    <col min="2" max="2" width="24" style="1" customWidth="1"/>
    <col min="3" max="3" width="22" style="1" customWidth="1"/>
    <col min="4" max="4" width="14" customWidth="1"/>
    <col min="5" max="35" width="7" customWidth="1"/>
    <col min="36" max="41" width="10" customWidth="1"/>
    <col min="42" max="16384" width="8.88671875" style="1"/>
  </cols>
  <sheetData>
    <row r="1" spans="1:48" ht="15.6" x14ac:dyDescent="0.25">
      <c r="A1" s="63" t="s">
        <v>0</v>
      </c>
      <c r="B1" s="64"/>
      <c r="C1" s="64"/>
      <c r="D1" s="64"/>
      <c r="E1" s="64"/>
      <c r="F1" s="64"/>
      <c r="G1" s="64"/>
      <c r="H1" s="64"/>
      <c r="I1" s="64"/>
      <c r="J1" s="64"/>
      <c r="K1" s="64"/>
      <c r="L1" s="64"/>
      <c r="M1" s="64"/>
      <c r="N1" s="64"/>
      <c r="O1" s="64"/>
      <c r="P1" s="64"/>
      <c r="Q1" s="64"/>
      <c r="R1" s="64"/>
      <c r="S1" s="64"/>
      <c r="T1" s="64"/>
      <c r="U1" s="64"/>
      <c r="V1" s="64"/>
      <c r="W1" s="2"/>
      <c r="X1" s="2"/>
      <c r="Y1" s="2"/>
      <c r="Z1" s="2"/>
      <c r="AA1" s="2"/>
      <c r="AB1" s="2"/>
      <c r="AC1" s="2"/>
      <c r="AD1" s="2"/>
      <c r="AE1" s="2"/>
      <c r="AF1" s="2"/>
      <c r="AG1" s="2"/>
      <c r="AH1" s="2"/>
      <c r="AI1" s="2"/>
      <c r="AJ1" s="1"/>
      <c r="AK1" s="1"/>
      <c r="AL1" s="1"/>
      <c r="AM1" s="1"/>
      <c r="AN1" s="1"/>
      <c r="AO1" s="1"/>
    </row>
    <row r="2" spans="1:48" ht="13.8" x14ac:dyDescent="0.25">
      <c r="A2" s="65" t="s">
        <v>1</v>
      </c>
      <c r="B2" s="64"/>
      <c r="C2" s="64"/>
      <c r="D2" s="64"/>
      <c r="E2" s="64"/>
      <c r="F2" s="64"/>
      <c r="G2" s="64"/>
      <c r="H2" s="64"/>
      <c r="I2" s="64"/>
      <c r="J2" s="64"/>
      <c r="K2" s="64"/>
      <c r="L2" s="64"/>
      <c r="M2" s="64"/>
      <c r="N2" s="64"/>
      <c r="O2" s="64"/>
      <c r="P2" s="64"/>
      <c r="Q2" s="64"/>
      <c r="R2" s="64"/>
      <c r="S2" s="64"/>
      <c r="T2" s="64"/>
      <c r="U2" s="64"/>
      <c r="V2" s="64"/>
      <c r="W2" s="2"/>
      <c r="X2" s="2"/>
      <c r="Y2" s="2"/>
      <c r="Z2" s="2"/>
      <c r="AA2" s="2"/>
      <c r="AB2" s="2"/>
      <c r="AC2" s="2"/>
      <c r="AD2" s="2"/>
      <c r="AE2" s="2"/>
      <c r="AF2" s="2"/>
      <c r="AG2" s="2"/>
      <c r="AH2" s="2"/>
      <c r="AI2" s="2"/>
      <c r="AJ2" s="1"/>
      <c r="AK2" s="1"/>
      <c r="AL2" s="1"/>
      <c r="AM2" s="1"/>
      <c r="AN2" s="1"/>
      <c r="AO2" s="1"/>
    </row>
    <row r="3" spans="1:48" ht="13.8" x14ac:dyDescent="0.25">
      <c r="A3" s="65" t="s">
        <v>2</v>
      </c>
      <c r="B3" s="64"/>
      <c r="C3" s="64"/>
      <c r="D3" s="64"/>
      <c r="E3" s="64"/>
      <c r="F3" s="64"/>
      <c r="G3" s="64"/>
      <c r="H3" s="64"/>
      <c r="I3" s="64"/>
      <c r="J3" s="64"/>
      <c r="K3" s="64"/>
      <c r="L3" s="64"/>
      <c r="M3" s="64"/>
      <c r="N3" s="64"/>
      <c r="O3" s="64"/>
      <c r="P3" s="64"/>
      <c r="Q3" s="64"/>
      <c r="R3" s="64"/>
      <c r="S3" s="64"/>
      <c r="T3" s="64"/>
      <c r="U3" s="64"/>
      <c r="V3" s="64"/>
      <c r="W3" s="2"/>
      <c r="X3" s="2"/>
      <c r="Y3" s="2"/>
      <c r="Z3" s="2"/>
      <c r="AA3" s="2"/>
      <c r="AB3" s="2"/>
      <c r="AC3" s="2"/>
      <c r="AD3" s="2"/>
      <c r="AE3" s="2"/>
      <c r="AF3" s="2"/>
      <c r="AG3" s="2"/>
      <c r="AH3" s="2"/>
      <c r="AI3" s="2"/>
      <c r="AJ3" s="2"/>
      <c r="AK3" s="2"/>
      <c r="AL3" s="2"/>
      <c r="AM3" s="2"/>
      <c r="AN3" s="2"/>
      <c r="AO3" s="2"/>
    </row>
    <row r="4" spans="1:48" ht="13.8"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8" ht="21" x14ac:dyDescent="0.25">
      <c r="A5" s="66" t="s">
        <v>3</v>
      </c>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row>
    <row r="6" spans="1:48" x14ac:dyDescent="0.25">
      <c r="A6" s="34" t="s">
        <v>4</v>
      </c>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row>
    <row r="7" spans="1:48" ht="13.8" x14ac:dyDescent="0.25">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row>
    <row r="8" spans="1:48" x14ac:dyDescent="0.3">
      <c r="A8" s="35" t="s">
        <v>5</v>
      </c>
      <c r="B8" s="36"/>
      <c r="C8" s="36"/>
      <c r="D8" s="36"/>
      <c r="E8" s="36"/>
      <c r="F8" s="36"/>
      <c r="G8" s="36"/>
      <c r="H8" s="36"/>
      <c r="I8" s="36"/>
      <c r="J8" s="36"/>
      <c r="K8" s="36"/>
      <c r="L8" s="37"/>
      <c r="M8" s="44" t="s">
        <v>45</v>
      </c>
      <c r="N8" s="45"/>
      <c r="O8" s="45"/>
      <c r="P8" s="45"/>
      <c r="Q8" s="45"/>
      <c r="R8" s="45"/>
      <c r="S8" s="45"/>
      <c r="T8" s="45"/>
      <c r="U8" s="45"/>
      <c r="V8" s="45"/>
      <c r="W8" s="45"/>
      <c r="X8" s="46"/>
      <c r="Y8" s="53" t="s">
        <v>6</v>
      </c>
      <c r="Z8" s="54"/>
      <c r="AA8" s="54"/>
      <c r="AB8" s="54"/>
      <c r="AC8" s="54"/>
      <c r="AD8" s="54"/>
      <c r="AE8" s="54"/>
      <c r="AF8" s="54"/>
      <c r="AG8" s="54"/>
      <c r="AH8" s="54"/>
      <c r="AI8" s="54"/>
      <c r="AJ8" s="54"/>
      <c r="AK8" s="54"/>
      <c r="AL8" s="54"/>
      <c r="AM8" s="54"/>
      <c r="AN8" s="54"/>
      <c r="AO8" s="55"/>
      <c r="AQ8"/>
      <c r="AR8"/>
      <c r="AS8"/>
      <c r="AT8"/>
      <c r="AU8"/>
      <c r="AV8"/>
    </row>
    <row r="9" spans="1:48" x14ac:dyDescent="0.3">
      <c r="A9" s="38"/>
      <c r="B9" s="39"/>
      <c r="C9" s="39"/>
      <c r="D9" s="39"/>
      <c r="E9" s="39"/>
      <c r="F9" s="39"/>
      <c r="G9" s="39"/>
      <c r="H9" s="39"/>
      <c r="I9" s="39"/>
      <c r="J9" s="39"/>
      <c r="K9" s="39"/>
      <c r="L9" s="40"/>
      <c r="M9" s="47"/>
      <c r="N9" s="48"/>
      <c r="O9" s="48"/>
      <c r="P9" s="48"/>
      <c r="Q9" s="48"/>
      <c r="R9" s="48"/>
      <c r="S9" s="48"/>
      <c r="T9" s="48"/>
      <c r="U9" s="48"/>
      <c r="V9" s="48"/>
      <c r="W9" s="48"/>
      <c r="X9" s="49"/>
      <c r="Y9" s="56"/>
      <c r="Z9" s="57"/>
      <c r="AA9" s="57"/>
      <c r="AB9" s="57"/>
      <c r="AC9" s="57"/>
      <c r="AD9" s="57"/>
      <c r="AE9" s="57"/>
      <c r="AF9" s="57"/>
      <c r="AG9" s="57"/>
      <c r="AH9" s="57"/>
      <c r="AI9" s="57"/>
      <c r="AJ9" s="57"/>
      <c r="AK9" s="57"/>
      <c r="AL9" s="57"/>
      <c r="AM9" s="57"/>
      <c r="AN9" s="57"/>
      <c r="AO9" s="58"/>
      <c r="AQ9"/>
      <c r="AR9"/>
      <c r="AS9"/>
      <c r="AT9"/>
      <c r="AU9"/>
      <c r="AV9"/>
    </row>
    <row r="10" spans="1:48" x14ac:dyDescent="0.3">
      <c r="A10" s="41"/>
      <c r="B10" s="42"/>
      <c r="C10" s="42"/>
      <c r="D10" s="42"/>
      <c r="E10" s="42"/>
      <c r="F10" s="42"/>
      <c r="G10" s="42"/>
      <c r="H10" s="42"/>
      <c r="I10" s="42"/>
      <c r="J10" s="42"/>
      <c r="K10" s="42"/>
      <c r="L10" s="43"/>
      <c r="M10" s="50"/>
      <c r="N10" s="51"/>
      <c r="O10" s="51"/>
      <c r="P10" s="51"/>
      <c r="Q10" s="51"/>
      <c r="R10" s="51"/>
      <c r="S10" s="51"/>
      <c r="T10" s="51"/>
      <c r="U10" s="51"/>
      <c r="V10" s="51"/>
      <c r="W10" s="51"/>
      <c r="X10" s="52"/>
      <c r="Y10" s="59"/>
      <c r="Z10" s="60"/>
      <c r="AA10" s="60"/>
      <c r="AB10" s="60"/>
      <c r="AC10" s="60"/>
      <c r="AD10" s="60"/>
      <c r="AE10" s="60"/>
      <c r="AF10" s="60"/>
      <c r="AG10" s="60"/>
      <c r="AH10" s="60"/>
      <c r="AI10" s="60"/>
      <c r="AJ10" s="60"/>
      <c r="AK10" s="60"/>
      <c r="AL10" s="60"/>
      <c r="AM10" s="60"/>
      <c r="AN10" s="60"/>
      <c r="AO10" s="61"/>
      <c r="AQ10"/>
      <c r="AR10"/>
      <c r="AS10"/>
      <c r="AT10"/>
      <c r="AU10"/>
      <c r="AV10"/>
    </row>
    <row r="11" spans="1:48" ht="13.8"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row>
    <row r="12" spans="1:48" ht="24" customHeight="1" x14ac:dyDescent="0.25">
      <c r="A12" s="62" t="s">
        <v>7</v>
      </c>
      <c r="B12" s="62" t="s">
        <v>8</v>
      </c>
      <c r="C12" s="62" t="s">
        <v>9</v>
      </c>
      <c r="D12" s="62" t="s">
        <v>10</v>
      </c>
      <c r="E12" s="62" t="s">
        <v>11</v>
      </c>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t="s">
        <v>12</v>
      </c>
      <c r="AK12" s="62" t="s">
        <v>13</v>
      </c>
      <c r="AL12" s="62" t="s">
        <v>14</v>
      </c>
      <c r="AM12" s="62" t="s">
        <v>15</v>
      </c>
      <c r="AN12" s="62" t="s">
        <v>16</v>
      </c>
      <c r="AO12" s="62" t="s">
        <v>17</v>
      </c>
    </row>
    <row r="13" spans="1:48" ht="19.95" customHeight="1" x14ac:dyDescent="0.25">
      <c r="A13" s="62"/>
      <c r="B13" s="62"/>
      <c r="C13" s="62"/>
      <c r="D13" s="62"/>
      <c r="E13" s="3" t="s">
        <v>18</v>
      </c>
      <c r="F13" s="3" t="s">
        <v>19</v>
      </c>
      <c r="G13" s="3" t="s">
        <v>20</v>
      </c>
      <c r="H13" s="3" t="s">
        <v>21</v>
      </c>
      <c r="I13" s="19" t="s">
        <v>22</v>
      </c>
      <c r="J13" s="19" t="s">
        <v>23</v>
      </c>
      <c r="K13" s="3" t="s">
        <v>24</v>
      </c>
      <c r="L13" s="3" t="s">
        <v>18</v>
      </c>
      <c r="M13" s="3" t="s">
        <v>19</v>
      </c>
      <c r="N13" s="3" t="s">
        <v>20</v>
      </c>
      <c r="O13" s="3" t="s">
        <v>21</v>
      </c>
      <c r="P13" s="19" t="s">
        <v>22</v>
      </c>
      <c r="Q13" s="19" t="s">
        <v>23</v>
      </c>
      <c r="R13" s="3" t="s">
        <v>24</v>
      </c>
      <c r="S13" s="3" t="s">
        <v>18</v>
      </c>
      <c r="T13" s="3" t="s">
        <v>19</v>
      </c>
      <c r="U13" s="3" t="s">
        <v>20</v>
      </c>
      <c r="V13" s="3" t="s">
        <v>21</v>
      </c>
      <c r="W13" s="19" t="s">
        <v>22</v>
      </c>
      <c r="X13" s="19" t="s">
        <v>23</v>
      </c>
      <c r="Y13" s="3" t="s">
        <v>24</v>
      </c>
      <c r="Z13" s="3" t="s">
        <v>18</v>
      </c>
      <c r="AA13" s="3" t="s">
        <v>19</v>
      </c>
      <c r="AB13" s="3" t="s">
        <v>20</v>
      </c>
      <c r="AC13" s="3" t="s">
        <v>21</v>
      </c>
      <c r="AD13" s="19" t="s">
        <v>22</v>
      </c>
      <c r="AE13" s="19" t="s">
        <v>23</v>
      </c>
      <c r="AF13" s="3" t="s">
        <v>24</v>
      </c>
      <c r="AG13" s="3" t="s">
        <v>18</v>
      </c>
      <c r="AH13" s="3" t="s">
        <v>19</v>
      </c>
      <c r="AI13" s="20" t="s">
        <v>25</v>
      </c>
      <c r="AJ13" s="62"/>
      <c r="AK13" s="62"/>
      <c r="AL13" s="62"/>
      <c r="AM13" s="62"/>
      <c r="AN13" s="62"/>
      <c r="AO13" s="62"/>
    </row>
    <row r="14" spans="1:48" ht="19.95" customHeight="1" x14ac:dyDescent="0.25">
      <c r="A14" s="62"/>
      <c r="B14" s="62"/>
      <c r="C14" s="62"/>
      <c r="D14" s="62"/>
      <c r="E14" s="3">
        <v>1</v>
      </c>
      <c r="F14" s="3">
        <v>2</v>
      </c>
      <c r="G14" s="3">
        <v>3</v>
      </c>
      <c r="H14" s="3">
        <v>4</v>
      </c>
      <c r="I14" s="19">
        <v>5</v>
      </c>
      <c r="J14" s="19">
        <v>6</v>
      </c>
      <c r="K14" s="3">
        <v>7</v>
      </c>
      <c r="L14" s="3">
        <v>8</v>
      </c>
      <c r="M14" s="3">
        <v>9</v>
      </c>
      <c r="N14" s="3">
        <v>10</v>
      </c>
      <c r="O14" s="3">
        <v>11</v>
      </c>
      <c r="P14" s="19">
        <v>12</v>
      </c>
      <c r="Q14" s="19">
        <v>13</v>
      </c>
      <c r="R14" s="3">
        <v>14</v>
      </c>
      <c r="S14" s="3">
        <v>15</v>
      </c>
      <c r="T14" s="3">
        <v>16</v>
      </c>
      <c r="U14" s="3">
        <v>17</v>
      </c>
      <c r="V14" s="3">
        <v>18</v>
      </c>
      <c r="W14" s="19">
        <v>19</v>
      </c>
      <c r="X14" s="19">
        <v>20</v>
      </c>
      <c r="Y14" s="3">
        <v>21</v>
      </c>
      <c r="Z14" s="3">
        <v>22</v>
      </c>
      <c r="AA14" s="3">
        <v>23</v>
      </c>
      <c r="AB14" s="3">
        <v>24</v>
      </c>
      <c r="AC14" s="3">
        <v>25</v>
      </c>
      <c r="AD14" s="19">
        <v>26</v>
      </c>
      <c r="AE14" s="19">
        <v>27</v>
      </c>
      <c r="AF14" s="3">
        <v>28</v>
      </c>
      <c r="AG14" s="3">
        <v>29</v>
      </c>
      <c r="AH14" s="3">
        <v>30</v>
      </c>
      <c r="AI14" s="20" t="s">
        <v>25</v>
      </c>
      <c r="AJ14" s="62"/>
      <c r="AK14" s="62"/>
      <c r="AL14" s="62"/>
      <c r="AM14" s="62"/>
      <c r="AN14" s="62"/>
      <c r="AO14" s="62"/>
    </row>
    <row r="15" spans="1:48" ht="22.05" customHeight="1" x14ac:dyDescent="0.25">
      <c r="A15" s="32">
        <v>1</v>
      </c>
      <c r="B15" s="33" t="s">
        <v>26</v>
      </c>
      <c r="C15" s="33" t="s">
        <v>27</v>
      </c>
      <c r="D15" s="5" t="s">
        <v>28</v>
      </c>
      <c r="E15" s="4" t="s">
        <v>29</v>
      </c>
      <c r="F15" s="4" t="s">
        <v>29</v>
      </c>
      <c r="G15" s="4" t="s">
        <v>29</v>
      </c>
      <c r="H15" s="4" t="s">
        <v>30</v>
      </c>
      <c r="I15" s="12"/>
      <c r="J15" s="12"/>
      <c r="K15" s="4" t="s">
        <v>29</v>
      </c>
      <c r="L15" s="4" t="s">
        <v>29</v>
      </c>
      <c r="M15" s="4"/>
      <c r="N15" s="4"/>
      <c r="O15" s="4"/>
      <c r="P15" s="12"/>
      <c r="Q15" s="12"/>
      <c r="R15" s="4"/>
      <c r="S15" s="4"/>
      <c r="T15" s="4"/>
      <c r="U15" s="4"/>
      <c r="V15" s="4"/>
      <c r="W15" s="12"/>
      <c r="X15" s="12"/>
      <c r="Y15" s="4"/>
      <c r="Z15" s="4"/>
      <c r="AA15" s="4"/>
      <c r="AB15" s="4"/>
      <c r="AC15" s="4"/>
      <c r="AD15" s="12"/>
      <c r="AE15" s="12"/>
      <c r="AF15" s="4"/>
      <c r="AG15" s="4"/>
      <c r="AH15" s="4"/>
      <c r="AI15" s="15"/>
      <c r="AJ15" s="23">
        <f>COUNTIF(E15:AI15,"x")+0.5*COUNTIF(E15:AI15,"sP")+0.5*COUNTIF(E15:AI15,"cP")</f>
        <v>5</v>
      </c>
      <c r="AK15" s="23">
        <f>COUNTIF(E15:AI15,"P")+0.5*COUNTIF(E15:AI15,"sP")+0.5*COUNTIF(E15:AI15,"cP")</f>
        <v>1</v>
      </c>
      <c r="AL15" s="23">
        <f>COUNTIF(E15:AI15,"KP")</f>
        <v>0</v>
      </c>
      <c r="AM15" s="23">
        <f>COUNTIF(E15:AI15,"N0")</f>
        <v>0</v>
      </c>
      <c r="AN15" s="23">
        <f>COUNTIF(E15:AI15,"CL")</f>
        <v>0</v>
      </c>
      <c r="AO15" s="23">
        <f>AJ15+AK15+AN15</f>
        <v>6</v>
      </c>
    </row>
    <row r="16" spans="1:48" ht="22.05" customHeight="1" x14ac:dyDescent="0.25">
      <c r="A16" s="27"/>
      <c r="B16" s="30"/>
      <c r="C16" s="30"/>
      <c r="D16" s="6" t="s">
        <v>31</v>
      </c>
      <c r="E16" s="7">
        <v>0.33402777777777776</v>
      </c>
      <c r="F16" s="7">
        <v>0.33055555555555555</v>
      </c>
      <c r="G16" s="7">
        <v>0.33541666666666664</v>
      </c>
      <c r="H16" s="7"/>
      <c r="I16" s="13"/>
      <c r="J16" s="13"/>
      <c r="K16" s="7">
        <v>0.33333333333333331</v>
      </c>
      <c r="L16" s="7">
        <v>0.33750000000000002</v>
      </c>
      <c r="M16" s="7"/>
      <c r="N16" s="7"/>
      <c r="O16" s="7"/>
      <c r="P16" s="13"/>
      <c r="Q16" s="13"/>
      <c r="R16" s="7"/>
      <c r="S16" s="7"/>
      <c r="T16" s="7"/>
      <c r="U16" s="7"/>
      <c r="V16" s="7"/>
      <c r="W16" s="13"/>
      <c r="X16" s="13"/>
      <c r="Y16" s="7"/>
      <c r="Z16" s="7"/>
      <c r="AA16" s="7"/>
      <c r="AB16" s="7"/>
      <c r="AC16" s="7"/>
      <c r="AD16" s="13"/>
      <c r="AE16" s="13"/>
      <c r="AF16" s="7"/>
      <c r="AG16" s="7"/>
      <c r="AH16" s="7"/>
      <c r="AI16" s="16"/>
      <c r="AJ16" s="23"/>
      <c r="AK16" s="23"/>
      <c r="AL16" s="23"/>
      <c r="AM16" s="23"/>
      <c r="AN16" s="23"/>
      <c r="AO16" s="23"/>
    </row>
    <row r="17" spans="1:41" ht="34.049999999999997" customHeight="1" x14ac:dyDescent="0.25">
      <c r="A17" s="28"/>
      <c r="B17" s="31"/>
      <c r="C17" s="31"/>
      <c r="D17" s="8" t="s">
        <v>32</v>
      </c>
      <c r="E17" s="9"/>
      <c r="F17" s="9"/>
      <c r="G17" s="9"/>
      <c r="H17" s="9"/>
      <c r="I17" s="14"/>
      <c r="J17" s="14"/>
      <c r="K17" s="9"/>
      <c r="L17" s="9"/>
      <c r="M17" s="9"/>
      <c r="N17" s="9"/>
      <c r="O17" s="9"/>
      <c r="P17" s="14"/>
      <c r="Q17" s="14"/>
      <c r="R17" s="9"/>
      <c r="S17" s="9"/>
      <c r="T17" s="9"/>
      <c r="U17" s="9"/>
      <c r="V17" s="9"/>
      <c r="W17" s="14"/>
      <c r="X17" s="14"/>
      <c r="Y17" s="9"/>
      <c r="Z17" s="9"/>
      <c r="AA17" s="9"/>
      <c r="AB17" s="9"/>
      <c r="AC17" s="9"/>
      <c r="AD17" s="14"/>
      <c r="AE17" s="14"/>
      <c r="AF17" s="9"/>
      <c r="AG17" s="9"/>
      <c r="AH17" s="9"/>
      <c r="AI17" s="17"/>
      <c r="AJ17" s="24"/>
      <c r="AK17" s="24"/>
      <c r="AL17" s="24"/>
      <c r="AM17" s="24"/>
      <c r="AN17" s="24"/>
      <c r="AO17" s="25"/>
    </row>
    <row r="18" spans="1:41" ht="22.05" customHeight="1" x14ac:dyDescent="0.25">
      <c r="A18" s="26">
        <v>2</v>
      </c>
      <c r="B18" s="29" t="s">
        <v>33</v>
      </c>
      <c r="C18" s="29" t="s">
        <v>27</v>
      </c>
      <c r="D18" s="11" t="s">
        <v>28</v>
      </c>
      <c r="E18" s="10" t="s">
        <v>29</v>
      </c>
      <c r="F18" s="10" t="s">
        <v>29</v>
      </c>
      <c r="G18" s="10" t="s">
        <v>34</v>
      </c>
      <c r="H18" s="10" t="s">
        <v>29</v>
      </c>
      <c r="I18" s="12"/>
      <c r="J18" s="12"/>
      <c r="K18" s="10" t="s">
        <v>29</v>
      </c>
      <c r="L18" s="10" t="s">
        <v>29</v>
      </c>
      <c r="M18" s="10"/>
      <c r="N18" s="10"/>
      <c r="O18" s="10"/>
      <c r="P18" s="12"/>
      <c r="Q18" s="12"/>
      <c r="R18" s="10"/>
      <c r="S18" s="10"/>
      <c r="T18" s="10"/>
      <c r="U18" s="10"/>
      <c r="V18" s="10"/>
      <c r="W18" s="12"/>
      <c r="X18" s="12"/>
      <c r="Y18" s="10"/>
      <c r="Z18" s="10"/>
      <c r="AA18" s="10"/>
      <c r="AB18" s="10"/>
      <c r="AC18" s="10"/>
      <c r="AD18" s="12"/>
      <c r="AE18" s="12"/>
      <c r="AF18" s="10"/>
      <c r="AG18" s="10"/>
      <c r="AH18" s="10"/>
      <c r="AI18" s="15"/>
      <c r="AJ18" s="23">
        <f>COUNTIF(E18:AI18,"x")+0.5*COUNTIF(E18:AI18,"sP")+0.5*COUNTIF(E18:AI18,"cP")</f>
        <v>5.5</v>
      </c>
      <c r="AK18" s="23">
        <f>COUNTIF(E18:AI18,"P")+0.5*COUNTIF(E18:AI18,"sP")+0.5*COUNTIF(E18:AI18,"cP")</f>
        <v>0.5</v>
      </c>
      <c r="AL18" s="23">
        <f>COUNTIF(E18:AI18,"KP")</f>
        <v>0</v>
      </c>
      <c r="AM18" s="23">
        <f>COUNTIF(E18:AI18,"N0")</f>
        <v>0</v>
      </c>
      <c r="AN18" s="23">
        <f>COUNTIF(E18:AI18,"CL")</f>
        <v>0</v>
      </c>
      <c r="AO18" s="23">
        <f>AJ18+AK18+AN18</f>
        <v>6</v>
      </c>
    </row>
    <row r="19" spans="1:41" ht="22.05" customHeight="1" x14ac:dyDescent="0.25">
      <c r="A19" s="27"/>
      <c r="B19" s="30"/>
      <c r="C19" s="30"/>
      <c r="D19" s="6" t="s">
        <v>31</v>
      </c>
      <c r="E19" s="7">
        <v>0.36249999999999999</v>
      </c>
      <c r="F19" s="7">
        <v>0.3347222222222222</v>
      </c>
      <c r="G19" s="7">
        <v>0.33194444444444443</v>
      </c>
      <c r="H19" s="7">
        <v>0.33680555555555558</v>
      </c>
      <c r="I19" s="13"/>
      <c r="J19" s="13"/>
      <c r="K19" s="7">
        <v>0.34513888888888888</v>
      </c>
      <c r="L19" s="7">
        <v>0.33263888888888887</v>
      </c>
      <c r="M19" s="7"/>
      <c r="N19" s="7"/>
      <c r="O19" s="7"/>
      <c r="P19" s="13"/>
      <c r="Q19" s="13"/>
      <c r="R19" s="7"/>
      <c r="S19" s="7"/>
      <c r="T19" s="7"/>
      <c r="U19" s="7"/>
      <c r="V19" s="7"/>
      <c r="W19" s="13"/>
      <c r="X19" s="13"/>
      <c r="Y19" s="7"/>
      <c r="Z19" s="7"/>
      <c r="AA19" s="7"/>
      <c r="AB19" s="7"/>
      <c r="AC19" s="7"/>
      <c r="AD19" s="13"/>
      <c r="AE19" s="13"/>
      <c r="AF19" s="7"/>
      <c r="AG19" s="7"/>
      <c r="AH19" s="7"/>
      <c r="AI19" s="16"/>
      <c r="AJ19" s="23"/>
      <c r="AK19" s="23"/>
      <c r="AL19" s="23"/>
      <c r="AM19" s="23"/>
      <c r="AN19" s="23"/>
      <c r="AO19" s="23"/>
    </row>
    <row r="20" spans="1:41" ht="34.049999999999997" customHeight="1" x14ac:dyDescent="0.25">
      <c r="A20" s="28"/>
      <c r="B20" s="31"/>
      <c r="C20" s="31"/>
      <c r="D20" s="8" t="s">
        <v>32</v>
      </c>
      <c r="E20" s="9" t="s">
        <v>35</v>
      </c>
      <c r="F20" s="9"/>
      <c r="G20" s="9"/>
      <c r="H20" s="9"/>
      <c r="I20" s="14"/>
      <c r="J20" s="14"/>
      <c r="K20" s="9"/>
      <c r="L20" s="9"/>
      <c r="M20" s="9"/>
      <c r="N20" s="9"/>
      <c r="O20" s="9"/>
      <c r="P20" s="14"/>
      <c r="Q20" s="14"/>
      <c r="R20" s="9"/>
      <c r="S20" s="9"/>
      <c r="T20" s="9"/>
      <c r="U20" s="9"/>
      <c r="V20" s="9"/>
      <c r="W20" s="14"/>
      <c r="X20" s="14"/>
      <c r="Y20" s="9"/>
      <c r="Z20" s="9"/>
      <c r="AA20" s="9"/>
      <c r="AB20" s="9"/>
      <c r="AC20" s="9"/>
      <c r="AD20" s="14"/>
      <c r="AE20" s="14"/>
      <c r="AF20" s="9"/>
      <c r="AG20" s="9"/>
      <c r="AH20" s="9"/>
      <c r="AI20" s="17"/>
      <c r="AJ20" s="24"/>
      <c r="AK20" s="24"/>
      <c r="AL20" s="24"/>
      <c r="AM20" s="24"/>
      <c r="AN20" s="24"/>
      <c r="AO20" s="25"/>
    </row>
    <row r="21" spans="1:41" ht="22.05" customHeight="1" x14ac:dyDescent="0.25">
      <c r="A21" s="32">
        <v>3</v>
      </c>
      <c r="B21" s="33" t="s">
        <v>36</v>
      </c>
      <c r="C21" s="33" t="s">
        <v>27</v>
      </c>
      <c r="D21" s="5" t="s">
        <v>28</v>
      </c>
      <c r="E21" s="4" t="s">
        <v>29</v>
      </c>
      <c r="F21" s="4" t="s">
        <v>37</v>
      </c>
      <c r="G21" s="4" t="s">
        <v>29</v>
      </c>
      <c r="H21" s="4" t="s">
        <v>38</v>
      </c>
      <c r="I21" s="12"/>
      <c r="J21" s="12"/>
      <c r="K21" s="4" t="s">
        <v>29</v>
      </c>
      <c r="L21" s="4" t="s">
        <v>29</v>
      </c>
      <c r="M21" s="4"/>
      <c r="N21" s="4"/>
      <c r="O21" s="4"/>
      <c r="P21" s="12"/>
      <c r="Q21" s="12"/>
      <c r="R21" s="4"/>
      <c r="S21" s="4"/>
      <c r="T21" s="4"/>
      <c r="U21" s="4"/>
      <c r="V21" s="4"/>
      <c r="W21" s="12"/>
      <c r="X21" s="12"/>
      <c r="Y21" s="4"/>
      <c r="Z21" s="4"/>
      <c r="AA21" s="4"/>
      <c r="AB21" s="4"/>
      <c r="AC21" s="4"/>
      <c r="AD21" s="12"/>
      <c r="AE21" s="12"/>
      <c r="AF21" s="4"/>
      <c r="AG21" s="4"/>
      <c r="AH21" s="4"/>
      <c r="AI21" s="15"/>
      <c r="AJ21" s="23">
        <f>COUNTIF(E21:AI21,"x")+0.5*COUNTIF(E21:AI21,"sP")+0.5*COUNTIF(E21:AI21,"cP")</f>
        <v>4.5</v>
      </c>
      <c r="AK21" s="23">
        <f>COUNTIF(E21:AI21,"P")+0.5*COUNTIF(E21:AI21,"sP")+0.5*COUNTIF(E21:AI21,"cP")</f>
        <v>0.5</v>
      </c>
      <c r="AL21" s="23">
        <f>COUNTIF(E21:AI21,"KP")</f>
        <v>0</v>
      </c>
      <c r="AM21" s="23">
        <f>COUNTIF(E21:AI21,"N0")</f>
        <v>0</v>
      </c>
      <c r="AN21" s="23">
        <f>COUNTIF(E21:AI21,"CL")</f>
        <v>1</v>
      </c>
      <c r="AO21" s="23">
        <f>AJ21+AK21+AN21</f>
        <v>6</v>
      </c>
    </row>
    <row r="22" spans="1:41" ht="22.05" customHeight="1" x14ac:dyDescent="0.25">
      <c r="A22" s="27"/>
      <c r="B22" s="30"/>
      <c r="C22" s="30"/>
      <c r="D22" s="6" t="s">
        <v>31</v>
      </c>
      <c r="E22" s="7">
        <v>0.38194444444444442</v>
      </c>
      <c r="F22" s="7">
        <v>0.5444444444444444</v>
      </c>
      <c r="G22" s="7">
        <v>0.33333333333333331</v>
      </c>
      <c r="H22" s="7"/>
      <c r="I22" s="13"/>
      <c r="J22" s="13"/>
      <c r="K22" s="7">
        <v>0.33611111111111114</v>
      </c>
      <c r="L22" s="7">
        <v>0.34166666666666667</v>
      </c>
      <c r="M22" s="7"/>
      <c r="N22" s="7"/>
      <c r="O22" s="7"/>
      <c r="P22" s="13"/>
      <c r="Q22" s="13"/>
      <c r="R22" s="7"/>
      <c r="S22" s="7"/>
      <c r="T22" s="7"/>
      <c r="U22" s="7"/>
      <c r="V22" s="7"/>
      <c r="W22" s="13"/>
      <c r="X22" s="13"/>
      <c r="Y22" s="7"/>
      <c r="Z22" s="7"/>
      <c r="AA22" s="7"/>
      <c r="AB22" s="7"/>
      <c r="AC22" s="7"/>
      <c r="AD22" s="13"/>
      <c r="AE22" s="13"/>
      <c r="AF22" s="7"/>
      <c r="AG22" s="7"/>
      <c r="AH22" s="7"/>
      <c r="AI22" s="16"/>
      <c r="AJ22" s="23"/>
      <c r="AK22" s="23"/>
      <c r="AL22" s="23"/>
      <c r="AM22" s="23"/>
      <c r="AN22" s="23"/>
      <c r="AO22" s="23"/>
    </row>
    <row r="23" spans="1:41" ht="34.049999999999997" customHeight="1" x14ac:dyDescent="0.25">
      <c r="A23" s="28"/>
      <c r="B23" s="31"/>
      <c r="C23" s="31"/>
      <c r="D23" s="8" t="s">
        <v>32</v>
      </c>
      <c r="E23" s="9" t="s">
        <v>39</v>
      </c>
      <c r="F23" s="9"/>
      <c r="G23" s="9"/>
      <c r="H23" s="9"/>
      <c r="I23" s="14"/>
      <c r="J23" s="14"/>
      <c r="K23" s="9"/>
      <c r="L23" s="9"/>
      <c r="M23" s="9"/>
      <c r="N23" s="9"/>
      <c r="O23" s="9"/>
      <c r="P23" s="14"/>
      <c r="Q23" s="14"/>
      <c r="R23" s="9"/>
      <c r="S23" s="9"/>
      <c r="T23" s="9"/>
      <c r="U23" s="9"/>
      <c r="V23" s="9"/>
      <c r="W23" s="14"/>
      <c r="X23" s="14"/>
      <c r="Y23" s="9"/>
      <c r="Z23" s="9"/>
      <c r="AA23" s="9"/>
      <c r="AB23" s="9"/>
      <c r="AC23" s="9"/>
      <c r="AD23" s="14"/>
      <c r="AE23" s="14"/>
      <c r="AF23" s="9"/>
      <c r="AG23" s="9"/>
      <c r="AH23" s="9"/>
      <c r="AI23" s="17"/>
      <c r="AJ23" s="24"/>
      <c r="AK23" s="24"/>
      <c r="AL23" s="24"/>
      <c r="AM23" s="24"/>
      <c r="AN23" s="24"/>
      <c r="AO23" s="25"/>
    </row>
    <row r="24" spans="1:41" ht="22.05" customHeight="1" x14ac:dyDescent="0.25">
      <c r="A24" s="26">
        <v>4</v>
      </c>
      <c r="B24" s="29" t="s">
        <v>40</v>
      </c>
      <c r="C24" s="29" t="s">
        <v>27</v>
      </c>
      <c r="D24" s="11" t="s">
        <v>28</v>
      </c>
      <c r="E24" s="10" t="s">
        <v>41</v>
      </c>
      <c r="F24" s="10" t="s">
        <v>29</v>
      </c>
      <c r="G24" s="10" t="s">
        <v>42</v>
      </c>
      <c r="H24" s="10" t="s">
        <v>29</v>
      </c>
      <c r="I24" s="12"/>
      <c r="J24" s="12"/>
      <c r="K24" s="10" t="s">
        <v>29</v>
      </c>
      <c r="L24" s="10" t="s">
        <v>30</v>
      </c>
      <c r="M24" s="10"/>
      <c r="N24" s="10"/>
      <c r="O24" s="10"/>
      <c r="P24" s="12"/>
      <c r="Q24" s="12"/>
      <c r="R24" s="10"/>
      <c r="S24" s="10"/>
      <c r="T24" s="10"/>
      <c r="U24" s="10"/>
      <c r="V24" s="10"/>
      <c r="W24" s="12"/>
      <c r="X24" s="12"/>
      <c r="Y24" s="10"/>
      <c r="Z24" s="10"/>
      <c r="AA24" s="10"/>
      <c r="AB24" s="10"/>
      <c r="AC24" s="10"/>
      <c r="AD24" s="12"/>
      <c r="AE24" s="12"/>
      <c r="AF24" s="10"/>
      <c r="AG24" s="10"/>
      <c r="AH24" s="10"/>
      <c r="AI24" s="15"/>
      <c r="AJ24" s="23">
        <f>COUNTIF(E24:AI24,"x")+0.5*COUNTIF(E24:AI24,"sP")+0.5*COUNTIF(E24:AI24,"cP")</f>
        <v>3</v>
      </c>
      <c r="AK24" s="23">
        <f>COUNTIF(E24:AI24,"P")+0.5*COUNTIF(E24:AI24,"sP")+0.5*COUNTIF(E24:AI24,"cP")</f>
        <v>1</v>
      </c>
      <c r="AL24" s="23">
        <f>COUNTIF(E24:AI24,"KP")</f>
        <v>1</v>
      </c>
      <c r="AM24" s="23">
        <f>COUNTIF(E24:AI24,"N0")</f>
        <v>1</v>
      </c>
      <c r="AN24" s="23">
        <f>COUNTIF(E24:AI24,"CL")</f>
        <v>0</v>
      </c>
      <c r="AO24" s="23">
        <f>AJ24+AK24+AN24</f>
        <v>4</v>
      </c>
    </row>
    <row r="25" spans="1:41" ht="22.05" customHeight="1" x14ac:dyDescent="0.25">
      <c r="A25" s="27"/>
      <c r="B25" s="30"/>
      <c r="C25" s="30"/>
      <c r="D25" s="6" t="s">
        <v>31</v>
      </c>
      <c r="E25" s="7"/>
      <c r="F25" s="7">
        <v>0.33333333333333331</v>
      </c>
      <c r="G25" s="7"/>
      <c r="H25" s="7">
        <v>0.32708333333333334</v>
      </c>
      <c r="I25" s="13"/>
      <c r="J25" s="13"/>
      <c r="K25" s="7">
        <v>0.3527777777777778</v>
      </c>
      <c r="L25" s="7"/>
      <c r="M25" s="7"/>
      <c r="N25" s="7"/>
      <c r="O25" s="7"/>
      <c r="P25" s="13"/>
      <c r="Q25" s="13"/>
      <c r="R25" s="7"/>
      <c r="S25" s="7"/>
      <c r="T25" s="7"/>
      <c r="U25" s="7"/>
      <c r="V25" s="7"/>
      <c r="W25" s="13"/>
      <c r="X25" s="13"/>
      <c r="Y25" s="7"/>
      <c r="Z25" s="7"/>
      <c r="AA25" s="7"/>
      <c r="AB25" s="7"/>
      <c r="AC25" s="7"/>
      <c r="AD25" s="13"/>
      <c r="AE25" s="13"/>
      <c r="AF25" s="7"/>
      <c r="AG25" s="7"/>
      <c r="AH25" s="7"/>
      <c r="AI25" s="16"/>
      <c r="AJ25" s="23"/>
      <c r="AK25" s="23"/>
      <c r="AL25" s="23"/>
      <c r="AM25" s="23"/>
      <c r="AN25" s="23"/>
      <c r="AO25" s="23"/>
    </row>
    <row r="26" spans="1:41" ht="34.049999999999997" customHeight="1" x14ac:dyDescent="0.25">
      <c r="A26" s="28"/>
      <c r="B26" s="31"/>
      <c r="C26" s="31"/>
      <c r="D26" s="8" t="s">
        <v>32</v>
      </c>
      <c r="E26" s="9"/>
      <c r="F26" s="9"/>
      <c r="G26" s="9"/>
      <c r="H26" s="9"/>
      <c r="I26" s="14"/>
      <c r="J26" s="14"/>
      <c r="K26" s="9" t="s">
        <v>43</v>
      </c>
      <c r="L26" s="9"/>
      <c r="M26" s="9"/>
      <c r="N26" s="9"/>
      <c r="O26" s="9"/>
      <c r="P26" s="14"/>
      <c r="Q26" s="14"/>
      <c r="R26" s="9"/>
      <c r="S26" s="9"/>
      <c r="T26" s="9"/>
      <c r="U26" s="9"/>
      <c r="V26" s="9"/>
      <c r="W26" s="14"/>
      <c r="X26" s="14"/>
      <c r="Y26" s="9"/>
      <c r="Z26" s="9"/>
      <c r="AA26" s="9"/>
      <c r="AB26" s="9"/>
      <c r="AC26" s="9"/>
      <c r="AD26" s="14"/>
      <c r="AE26" s="14"/>
      <c r="AF26" s="9"/>
      <c r="AG26" s="9"/>
      <c r="AH26" s="9"/>
      <c r="AI26" s="17"/>
      <c r="AJ26" s="24"/>
      <c r="AK26" s="24"/>
      <c r="AL26" s="24"/>
      <c r="AM26" s="24"/>
      <c r="AN26" s="24"/>
      <c r="AO26" s="25"/>
    </row>
    <row r="27" spans="1:41" ht="24" customHeight="1" x14ac:dyDescent="0.25">
      <c r="A27" s="21" t="s">
        <v>46</v>
      </c>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18">
        <f t="shared" ref="AJ27:AO27" si="0">AJ15+AJ18+AJ21+AJ24</f>
        <v>18</v>
      </c>
      <c r="AK27" s="18">
        <f t="shared" si="0"/>
        <v>3</v>
      </c>
      <c r="AL27" s="18">
        <f t="shared" si="0"/>
        <v>1</v>
      </c>
      <c r="AM27" s="18">
        <f t="shared" si="0"/>
        <v>1</v>
      </c>
      <c r="AN27" s="18">
        <f t="shared" si="0"/>
        <v>1</v>
      </c>
      <c r="AO27" s="18">
        <f t="shared" si="0"/>
        <v>22</v>
      </c>
    </row>
    <row r="28" spans="1:41" ht="13.8"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row>
    <row r="29" spans="1:41" ht="19.95" customHeight="1" x14ac:dyDescent="0.25">
      <c r="A29" s="22" t="s">
        <v>44</v>
      </c>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row>
  </sheetData>
  <mergeCells count="57">
    <mergeCell ref="A1:V1"/>
    <mergeCell ref="A2:V2"/>
    <mergeCell ref="A3:V3"/>
    <mergeCell ref="A5:AO5"/>
    <mergeCell ref="A6:AO6"/>
    <mergeCell ref="A8:L10"/>
    <mergeCell ref="M8:X10"/>
    <mergeCell ref="Y8:AO10"/>
    <mergeCell ref="A12:A14"/>
    <mergeCell ref="B12:B14"/>
    <mergeCell ref="C12:C14"/>
    <mergeCell ref="D12:D14"/>
    <mergeCell ref="E12:AI12"/>
    <mergeCell ref="AJ12:AJ14"/>
    <mergeCell ref="AK12:AK14"/>
    <mergeCell ref="AL12:AL14"/>
    <mergeCell ref="AM12:AM14"/>
    <mergeCell ref="AN12:AN14"/>
    <mergeCell ref="AO12:AO14"/>
    <mergeCell ref="AM15:AM17"/>
    <mergeCell ref="AN15:AN17"/>
    <mergeCell ref="AO15:AO17"/>
    <mergeCell ref="A18:A20"/>
    <mergeCell ref="B18:B20"/>
    <mergeCell ref="C18:C20"/>
    <mergeCell ref="AJ18:AJ20"/>
    <mergeCell ref="AK18:AK20"/>
    <mergeCell ref="AL18:AL20"/>
    <mergeCell ref="AM18:AM20"/>
    <mergeCell ref="AN18:AN20"/>
    <mergeCell ref="AO18:AO20"/>
    <mergeCell ref="A15:A17"/>
    <mergeCell ref="B15:B17"/>
    <mergeCell ref="C15:C17"/>
    <mergeCell ref="AJ15:AJ17"/>
    <mergeCell ref="B21:B23"/>
    <mergeCell ref="C21:C23"/>
    <mergeCell ref="AJ21:AJ23"/>
    <mergeCell ref="AK21:AK23"/>
    <mergeCell ref="AL15:AL17"/>
    <mergeCell ref="AK15:AK17"/>
    <mergeCell ref="A27:AI27"/>
    <mergeCell ref="A29:AO29"/>
    <mergeCell ref="AL21:AL23"/>
    <mergeCell ref="AM21:AM23"/>
    <mergeCell ref="AN21:AN23"/>
    <mergeCell ref="AO21:AO23"/>
    <mergeCell ref="A24:A26"/>
    <mergeCell ref="B24:B26"/>
    <mergeCell ref="C24:C26"/>
    <mergeCell ref="AJ24:AJ26"/>
    <mergeCell ref="AK24:AK26"/>
    <mergeCell ref="AL24:AL26"/>
    <mergeCell ref="AM24:AM26"/>
    <mergeCell ref="AN24:AN26"/>
    <mergeCell ref="AO24:AO26"/>
    <mergeCell ref="A21:A23"/>
  </mergeCells>
  <conditionalFormatting sqref="E15:AI15">
    <cfRule type="expression" dxfId="31" priority="1">
      <formula>E15="x"</formula>
    </cfRule>
    <cfRule type="expression" dxfId="30" priority="2">
      <formula>E15="P"</formula>
    </cfRule>
    <cfRule type="expression" dxfId="29" priority="3">
      <formula>E15="sP"</formula>
    </cfRule>
    <cfRule type="expression" dxfId="28" priority="4">
      <formula>E15="cP"</formula>
    </cfRule>
    <cfRule type="expression" dxfId="27" priority="5">
      <formula>E15="KP"</formula>
    </cfRule>
    <cfRule type="expression" dxfId="26" priority="6">
      <formula>E15="N0"</formula>
    </cfRule>
    <cfRule type="expression" dxfId="25" priority="7">
      <formula>E15="CL"</formula>
    </cfRule>
  </conditionalFormatting>
  <conditionalFormatting sqref="E16:AI16">
    <cfRule type="cellIs" dxfId="24" priority="8" operator="greaterThan">
      <formula>0.34375</formula>
    </cfRule>
  </conditionalFormatting>
  <conditionalFormatting sqref="E18:AI18">
    <cfRule type="expression" dxfId="23" priority="9">
      <formula>E18="x"</formula>
    </cfRule>
    <cfRule type="expression" dxfId="22" priority="10">
      <formula>E18="P"</formula>
    </cfRule>
    <cfRule type="expression" dxfId="21" priority="11">
      <formula>E18="sP"</formula>
    </cfRule>
    <cfRule type="expression" dxfId="20" priority="12">
      <formula>E18="cP"</formula>
    </cfRule>
    <cfRule type="expression" dxfId="19" priority="13">
      <formula>E18="KP"</formula>
    </cfRule>
    <cfRule type="expression" dxfId="18" priority="14">
      <formula>E18="N0"</formula>
    </cfRule>
    <cfRule type="expression" dxfId="17" priority="15">
      <formula>E18="CL"</formula>
    </cfRule>
  </conditionalFormatting>
  <conditionalFormatting sqref="E19:AI19">
    <cfRule type="cellIs" dxfId="16" priority="16" operator="greaterThan">
      <formula>0.34375</formula>
    </cfRule>
  </conditionalFormatting>
  <conditionalFormatting sqref="E21:AI21">
    <cfRule type="expression" dxfId="15" priority="17">
      <formula>E21="x"</formula>
    </cfRule>
    <cfRule type="expression" dxfId="14" priority="18">
      <formula>E21="P"</formula>
    </cfRule>
    <cfRule type="expression" dxfId="13" priority="19">
      <formula>E21="sP"</formula>
    </cfRule>
    <cfRule type="expression" dxfId="12" priority="20">
      <formula>E21="cP"</formula>
    </cfRule>
    <cfRule type="expression" dxfId="11" priority="21">
      <formula>E21="KP"</formula>
    </cfRule>
    <cfRule type="expression" dxfId="10" priority="22">
      <formula>E21="N0"</formula>
    </cfRule>
    <cfRule type="expression" dxfId="9" priority="23">
      <formula>E21="CL"</formula>
    </cfRule>
  </conditionalFormatting>
  <conditionalFormatting sqref="E22:AI22">
    <cfRule type="cellIs" dxfId="8" priority="24" operator="greaterThan">
      <formula>0.34375</formula>
    </cfRule>
  </conditionalFormatting>
  <conditionalFormatting sqref="E24:AI24">
    <cfRule type="expression" dxfId="7" priority="25">
      <formula>E24="x"</formula>
    </cfRule>
    <cfRule type="expression" dxfId="6" priority="26">
      <formula>E24="P"</formula>
    </cfRule>
    <cfRule type="expression" dxfId="5" priority="27">
      <formula>E24="sP"</formula>
    </cfRule>
    <cfRule type="expression" dxfId="4" priority="28">
      <formula>E24="cP"</formula>
    </cfRule>
    <cfRule type="expression" dxfId="3" priority="29">
      <formula>E24="KP"</formula>
    </cfRule>
    <cfRule type="expression" dxfId="2" priority="30">
      <formula>E24="N0"</formula>
    </cfRule>
    <cfRule type="expression" dxfId="1" priority="31">
      <formula>E24="CL"</formula>
    </cfRule>
  </conditionalFormatting>
  <conditionalFormatting sqref="E25:AI25">
    <cfRule type="cellIs" dxfId="0" priority="32" operator="greaterThan">
      <formula>0.34375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Mach Hoai</cp:lastModifiedBy>
  <dcterms:modified xsi:type="dcterms:W3CDTF">2026-09-22T09:47:24Z</dcterms:modified>
</cp:coreProperties>
</file>