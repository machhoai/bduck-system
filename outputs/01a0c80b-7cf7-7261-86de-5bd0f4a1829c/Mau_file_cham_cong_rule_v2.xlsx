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42c64cd7c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016beb3f8a4605"/>
  </x:sheets>
</x:workbook>
</file>

<file path=xl/sharedStrings.xml><?xml version="1.0" encoding="utf-8"?>
<x:sst xmlns:x="http://schemas.openxmlformats.org/spreadsheetml/2006/main">
  <x:si>
    <x:t xml:space="preserve">CÔNG TY TNHH JOYWORLD ENTERTAINMENT</x:t>
  </x:si>
  <x:si>
    <x:t xml:space="preserve">Địa chỉ: 154A Nguyễn Thị Thập, Phường Tân Thuận, Thành phố Hồ Chí Minh</x:t>
  </x:si>
  <x:si>
    <x:t xml:space="preserve">Mã số thuế: 0318958531</x:t>
  </x:si>
  <x:si>
    <x:t xml:space="preserve">BẢNG CHẤM CÔNG</x:t>
  </x:si>
  <x:si>
    <x:t xml:space="preserve">Tháng 09 năm 2026</x:t>
  </x:si>
  <x:si>
    <x:t xml:space="preserve">STT</x:t>
  </x:si>
  <x:si>
    <x:t xml:space="preserve">Họ và tên</x:t>
  </x:si>
  <x:si>
    <x:t xml:space="preserve">Cơ sở</x:t>
  </x:si>
  <x:si>
    <x:t xml:space="preserve">Dòng dữ liệu</x:t>
  </x:si>
  <x:si>
    <x:t xml:space="preserve">Ngày trong tháng</x:t>
  </x:si>
  <x:si>
    <x:t xml:space="preserve">(1)</x:t>
  </x:si>
  <x:si>
    <x:t xml:space="preserve">(2)</x:t>
  </x:si>
  <x:si>
    <x:t xml:space="preserve">(3)</x:t>
  </x:si>
  <x:si>
    <x:t xml:space="preserve">(4)</x:t>
  </x:si>
  <x:si>
    <x:t xml:space="preserve">(5)</x:t>
  </x:si>
  <x:si>
    <x:t xml:space="preserve">(6)</x:t>
  </x:si>
  <x:si>
    <x:t xml:space="preserve">T3</x:t>
  </x:si>
  <x:si>
    <x:t xml:space="preserve">T4</x:t>
  </x:si>
  <x:si>
    <x:t xml:space="preserve">T5</x:t>
  </x:si>
  <x:si>
    <x:t xml:space="preserve">T6</x:t>
  </x:si>
  <x:si>
    <x:t xml:space="preserve">T7</x:t>
  </x:si>
  <x:si>
    <x:t xml:space="preserve">CN</x:t>
  </x:si>
  <x:si>
    <x:t xml:space="preserve">T2</x:t>
  </x:si>
  <x:si>
    <x:t xml:space="preserve">—</x:t>
  </x:si>
  <x:si>
    <x:t xml:space="preserve">Nguyễn Thị Ngoãn</x:t>
  </x:si>
  <x:si>
    <x:t xml:space="preserve">Văn phòng JOY WORLD</x:t>
  </x:si>
  <x:si>
    <x:t xml:space="preserve">Trạng thái</x:t>
  </x:si>
  <x:si>
    <x:t xml:space="preserve">x</x:t>
  </x:si>
  <x:si>
    <x:t xml:space="preserve">P</x:t>
  </x:si>
  <x:si>
    <x:t xml:space="preserve">Giờ check-in</x:t>
  </x:si>
  <x:si>
    <x:t xml:space="preserve">Xin đi trễ</x:t>
  </x:si>
  <x:si>
    <x:t xml:space="preserve">Mạch Lâm Quốc Hoài</x:t>
  </x:si>
  <x:si>
    <x:t xml:space="preserve">cP</x:t>
  </x:si>
  <x:si>
    <x:t xml:space="preserve">08:40 - Kẹt xe</x:t>
  </x:si>
  <x:si>
    <x:t xml:space="preserve">Nguyễn Thị Thùy Ngân</x:t>
  </x:si>
  <x:si>
    <x:t xml:space="preserve">sP</x:t>
  </x:si>
  <x:si>
    <x:t xml:space="preserve">CL</x:t>
  </x:si>
  <x:si>
    <x:t xml:space="preserve">09:00 - Việc gia đình</x:t>
  </x:si>
  <x:si>
    <x:t xml:space="preserve">Trần Thị Thu Thảo</x:t>
  </x:si>
  <x:si>
    <x:t xml:space="preserve">N0</x:t>
  </x:si>
  <x:si>
    <x:t xml:space="preserve">08:30 - Kẹt xe</x:t>
  </x:si>
  <x:si>
    <x:t xml:space="preserve">Tổng cộng</x:t>
  </x:si>
</x:sst>
</file>

<file path=xl/styles.xml><?xml version="1.0" encoding="utf-8"?>
<x:styleSheet xmlns:x="http://schemas.openxmlformats.org/spreadsheetml/2006/main">
  <x:numFmts count="2">
    <x:numFmt numFmtId="164" formatCode="0.0"/>
    <x:numFmt numFmtId="165" formatCode="hh:mm"/>
  </x:numFmts>
  <x:fonts count="16">
    <x:font>
      <x:sz val="11"/>
      <x:color theme="1"/>
      <x:name val="Aptos Narrow"/>
    </x:font>
    <x:font>
      <x:sz val="11"/>
      <x:color theme="1"/>
      <x:name val="Times New Roman"/>
    </x:font>
    <x:font>
      <x:sz val="10"/>
      <x:color rgb="FF1F2937"/>
      <x:name val="Arial"/>
    </x:font>
    <x:font>
      <x:b/>
      <x:sz val="12"/>
      <x:color rgb="FF1F4E78"/>
      <x:name val="Arial"/>
    </x:font>
    <x:font>
      <x:sz val="9"/>
      <x:color rgb="FF475569"/>
      <x:name val="Arial"/>
    </x:font>
    <x:font>
      <x:b/>
      <x:sz val="16"/>
      <x:color rgb="FF17365D"/>
      <x:name val="Arial"/>
    </x:font>
    <x:font>
      <x:i/>
      <x:sz val="11"/>
      <x:color rgb="FF475569"/>
      <x:name val="Arial"/>
    </x:font>
    <x:font>
      <x:sz val="9"/>
      <x:color rgb="FF334155"/>
      <x:name val="Arial"/>
    </x:font>
    <x:font>
      <x:b/>
      <x:sz val="9"/>
      <x:color rgb="FFFFFFFF"/>
      <x:name val="Arial"/>
    </x:font>
    <x:font>
      <x:b/>
      <x:sz val="9"/>
      <x:color rgb="FF475569"/>
      <x:name val="Arial"/>
    </x:font>
    <x:font>
      <x:b/>
      <x:sz val="10"/>
      <x:color rgb="FF1E3A8A"/>
      <x:name val="Arial"/>
    </x:font>
    <x:font>
      <x:sz val="8"/>
      <x:color rgb="FF9A3412"/>
      <x:name val="Arial"/>
    </x:font>
    <x:font>
      <x:b/>
      <x:sz val="10"/>
      <x:color rgb="FFFFFFFF"/>
      <x:name val="Arial"/>
    </x:font>
    <x:font>
      <x:i/>
      <x:sz val="9"/>
      <x:color rgb="FF64748B"/>
      <x:name val="Arial"/>
    </x:font>
    <x:font>
      <x:b/>
      <x:sz val="9"/>
      <x:color theme="4"/>
      <x:name val="Arial"/>
    </x:font>
    <x:font>
      <x:sz val="8"/>
      <x:color rgb="FFC2410C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E8F1FB"/>
      </x:patternFill>
    </x:fill>
    <x:fill>
      <x:patternFill patternType="solid">
        <x:fgColor rgb="FFE5E7EB"/>
      </x:patternFill>
    </x:fill>
    <x:fill>
      <x:patternFill patternType="solid">
        <x:fgColor rgb="FF17365D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E5E7EB"/>
      </x:patternFill>
    </x:fill>
  </x:fills>
  <x:borders count="33">
    <x:border/>
    <x:border>
      <x:left style="thin">
        <x:color rgb="FF93C5FD"/>
      </x:left>
      <x:top style="thin">
        <x:color rgb="FF93C5FD"/>
      </x:top>
    </x:border>
    <x:border>
      <x:top style="thin">
        <x:color rgb="FF93C5FD"/>
      </x:top>
    </x:border>
    <x:border>
      <x:right style="thin">
        <x:color rgb="FF93C5FD"/>
      </x:right>
      <x:top style="thin">
        <x:color rgb="FF93C5FD"/>
      </x:top>
    </x:border>
    <x:border>
      <x:left style="thin">
        <x:color rgb="FF93C5FD"/>
      </x:left>
    </x:border>
    <x:border>
      <x:right style="thin">
        <x:color rgb="FF93C5FD"/>
      </x:right>
    </x:border>
    <x:border>
      <x:left style="thin">
        <x:color rgb="FF93C5FD"/>
      </x:left>
      <x:bottom style="thin">
        <x:color rgb="FF93C5FD"/>
      </x:bottom>
    </x:border>
    <x:border>
      <x:bottom style="thin">
        <x:color rgb="FF93C5FD"/>
      </x:bottom>
    </x:border>
    <x:border>
      <x:right style="thin">
        <x:color rgb="FF93C5FD"/>
      </x:right>
      <x:bottom style="thin">
        <x:color rgb="FF93C5FD"/>
      </x:bottom>
    </x:border>
    <x:border>
      <x:left style="thin">
        <x:color rgb="FFFCD34D"/>
      </x:left>
      <x:top style="thin">
        <x:color rgb="FFFCD34D"/>
      </x:top>
    </x:border>
    <x:border>
      <x:top style="thin">
        <x:color rgb="FFFCD34D"/>
      </x:top>
    </x:border>
    <x:border>
      <x:right style="thin">
        <x:color rgb="FFFCD34D"/>
      </x:right>
      <x:top style="thin">
        <x:color rgb="FFFCD34D"/>
      </x:top>
    </x:border>
    <x:border>
      <x:left style="thin">
        <x:color rgb="FFFCD34D"/>
      </x:left>
    </x:border>
    <x:border>
      <x:right style="thin">
        <x:color rgb="FFFCD34D"/>
      </x:right>
    </x:border>
    <x:border>
      <x:left style="thin">
        <x:color rgb="FFFCD34D"/>
      </x:left>
      <x:bottom style="thin">
        <x:color rgb="FFFCD34D"/>
      </x:bottom>
    </x:border>
    <x:border>
      <x:bottom style="thin">
        <x:color rgb="FFFCD34D"/>
      </x:bottom>
    </x:border>
    <x:border>
      <x:right style="thin">
        <x:color rgb="FFFCD34D"/>
      </x:right>
      <x:bottom style="thin">
        <x:color rgb="FFFCD34D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medium">
        <x:color rgb="FF94A3B8"/>
      </x:bottom>
    </x:border>
    <x:border>
      <x:left style="thin">
        <x:color rgb="FFBFDBFE"/>
      </x:left>
      <x:right style="thin">
        <x:color rgb="FFBFDBFE"/>
      </x:right>
      <x:top style="thin">
        <x:color rgb="FFCBD5E1"/>
      </x:top>
      <x:bottom style="medium">
        <x:color rgb="FF94A3B8"/>
      </x:bottom>
    </x:border>
    <x:border>
      <x:left style="thin">
        <x:color rgb="FFBFDBFE"/>
      </x:left>
      <x:right style="thin">
        <x:color rgb="FFCBD5E1"/>
      </x:right>
      <x:top style="thin">
        <x:color rgb="FFCBD5E1"/>
      </x:top>
      <x:bottom style="medium">
        <x:color rgb="FF94A3B8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medium">
        <x:color rgb="FF94A3B8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1" fillId="0" borderId="0" xfId="0" applyFont="1"/>
    <x:xf numFmtId="0" fontId="2" fillId="0" borderId="0" xfId="0" applyFont="1" applyAlignment="1">
      <x:alignment vertical="center"/>
    </x:xf>
    <x:xf numFmtId="0" fontId="8" fillId="7" borderId="25" xfId="0" applyFont="1" applyFill="1" applyBorder="1" applyAlignment="1">
      <x:alignment horizontal="center" vertical="center" wrapText="1"/>
    </x:xf>
    <x:xf numFmtId="0" fontId="2" fillId="5" borderId="26" xfId="0" applyFont="1" applyFill="1" applyBorder="1" applyAlignment="1">
      <x:alignment horizontal="center" vertical="center"/>
    </x:xf>
    <x:xf numFmtId="0" fontId="9" fillId="5" borderId="26" xfId="0" applyFont="1" applyFill="1" applyBorder="1" applyAlignment="1">
      <x:alignment horizontal="center" vertical="center"/>
    </x:xf>
    <x:xf numFmtId="0" fontId="9" fillId="8" borderId="26" xfId="0" applyFont="1" applyFill="1" applyBorder="1" applyAlignment="1">
      <x:alignment horizontal="center" vertical="center"/>
    </x:xf>
    <x:xf numFmtId="165" fontId="2" fillId="8" borderId="26" xfId="0" applyNumberFormat="1" applyFont="1" applyFill="1" applyBorder="1" applyAlignment="1">
      <x:alignment horizontal="center" vertical="center"/>
    </x:xf>
    <x:xf numFmtId="0" fontId="9" fillId="2" borderId="28" xfId="0" applyFont="1" applyFill="1" applyBorder="1" applyAlignment="1">
      <x:alignment horizontal="center" vertical="center"/>
    </x:xf>
    <x:xf numFmtId="0" fontId="11" fillId="2" borderId="28" xfId="0" applyFont="1" applyFill="1" applyBorder="1" applyAlignment="1">
      <x:alignment horizontal="center" vertical="center" wrapText="1"/>
    </x:xf>
    <x:xf numFmtId="0" fontId="2" fillId="9" borderId="26" xfId="0" applyFont="1" applyFill="1" applyBorder="1" applyAlignment="1">
      <x:alignment horizontal="center" vertical="center"/>
    </x:xf>
    <x:xf numFmtId="0" fontId="9" fillId="9" borderId="26" xfId="0" applyFont="1" applyFill="1" applyBorder="1" applyAlignment="1">
      <x:alignment horizontal="center" vertical="center"/>
    </x:xf>
    <x:xf numFmtId="0" fontId="2" fillId="10" borderId="26" xfId="0" applyFont="1" applyFill="1" applyBorder="1" applyAlignment="1">
      <x:alignment horizontal="center" vertical="center"/>
    </x:xf>
    <x:xf numFmtId="165" fontId="2" fillId="10" borderId="26" xfId="0" applyNumberFormat="1" applyFont="1" applyFill="1" applyBorder="1" applyAlignment="1">
      <x:alignment horizontal="center" vertical="center"/>
    </x:xf>
    <x:xf numFmtId="0" fontId="11" fillId="10" borderId="28" xfId="0" applyFont="1" applyFill="1" applyBorder="1" applyAlignment="1">
      <x:alignment horizontal="center" vertical="center" wrapText="1"/>
    </x:xf>
    <x:xf numFmtId="0" fontId="2" fillId="11" borderId="26" xfId="0" applyFont="1" applyFill="1" applyBorder="1" applyAlignment="1">
      <x:alignment horizontal="center" vertical="center"/>
    </x:xf>
    <x:xf numFmtId="165" fontId="2" fillId="11" borderId="26" xfId="0" applyNumberFormat="1" applyFont="1" applyFill="1" applyBorder="1" applyAlignment="1">
      <x:alignment horizontal="center" vertical="center"/>
    </x:xf>
    <x:xf numFmtId="0" fontId="11" fillId="11" borderId="28" xfId="0" applyFont="1" applyFill="1" applyBorder="1" applyAlignment="1">
      <x:alignment horizontal="center" vertical="center" wrapText="1"/>
    </x:xf>
    <x:xf numFmtId="164" fontId="12" fillId="12" borderId="25" xfId="0" applyNumberFormat="1" applyFont="1" applyFill="1" applyBorder="1" applyAlignment="1">
      <x:alignment horizontal="center" vertical="center"/>
    </x:xf>
    <x:xf numFmtId="0" fontId="14" fillId="10" borderId="25" xfId="0" applyFont="1" applyFill="1" applyBorder="1" applyAlignment="1">
      <x:alignment horizontal="center" vertical="center" wrapText="1"/>
    </x:xf>
    <x:xf numFmtId="0" fontId="14" fillId="11" borderId="25" xfId="0" applyFont="1" applyFill="1" applyBorder="1" applyAlignment="1">
      <x:alignment horizontal="center" vertical="center" wrapText="1"/>
    </x:xf>
    <x:xf numFmtId="164" fontId="12" fillId="12" borderId="25" xfId="0" applyNumberFormat="1" applyFont="1" applyFill="1" applyBorder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164" fontId="10" fillId="3" borderId="27" xfId="0" applyNumberFormat="1" applyFont="1" applyFill="1" applyBorder="1" applyAlignment="1">
      <x:alignment horizontal="center" vertical="center"/>
    </x:xf>
    <x:xf numFmtId="164" fontId="10" fillId="3" borderId="29" xfId="0" applyNumberFormat="1" applyFont="1" applyFill="1" applyBorder="1" applyAlignment="1">
      <x:alignment horizontal="center" vertical="center"/>
    </x:xf>
    <x:xf numFmtId="164" fontId="10" fillId="3" borderId="30" xfId="0" applyNumberFormat="1" applyFont="1" applyFill="1" applyBorder="1" applyAlignment="1">
      <x:alignment horizontal="center" vertical="center"/>
    </x:xf>
    <x:xf numFmtId="0" fontId="2" fillId="9" borderId="26" xfId="0" applyFont="1" applyFill="1" applyBorder="1" applyAlignment="1">
      <x:alignment horizontal="center" vertical="center"/>
    </x:xf>
    <x:xf numFmtId="0" fontId="2" fillId="0" borderId="26" xfId="0" applyFont="1" applyBorder="1" applyAlignment="1">
      <x:alignment horizontal="center" vertical="center"/>
    </x:xf>
    <x:xf numFmtId="0" fontId="2" fillId="0" borderId="28" xfId="0" applyFont="1" applyBorder="1" applyAlignment="1">
      <x:alignment horizontal="center" vertical="center"/>
    </x:xf>
    <x:xf numFmtId="0" fontId="2" fillId="9" borderId="26" xfId="0" applyFont="1" applyFill="1" applyBorder="1" applyAlignment="1">
      <x:alignment horizontal="left" vertical="center"/>
    </x:xf>
    <x:xf numFmtId="0" fontId="2" fillId="0" borderId="26" xfId="0" applyFont="1" applyBorder="1" applyAlignment="1">
      <x:alignment horizontal="left" vertical="center"/>
    </x:xf>
    <x:xf numFmtId="0" fontId="2" fillId="0" borderId="28" xfId="0" applyFont="1" applyBorder="1" applyAlignment="1">
      <x:alignment horizontal="left" vertical="center"/>
    </x:xf>
    <x:xf numFmtId="0" fontId="2" fillId="5" borderId="26" xfId="0" applyFont="1" applyFill="1" applyBorder="1" applyAlignment="1">
      <x:alignment horizontal="center" vertical="center"/>
    </x:xf>
    <x:xf numFmtId="0" fontId="2" fillId="5" borderId="26" xfId="0" applyFont="1" applyFill="1" applyBorder="1" applyAlignment="1">
      <x:alignment horizontal="left" vertical="center"/>
    </x:xf>
    <x:xf numFmtId="0" fontId="6" fillId="0" borderId="0" xfId="0" applyFont="1" applyAlignment="1">
      <x:alignment horizontal="center" vertical="center"/>
    </x:xf>
    <x:xf numFmtId="0" fontId="7" fillId="3" borderId="1" xfId="0" applyFont="1" applyFill="1" applyBorder="1" applyAlignment="1">
      <x:alignment horizontal="left" vertical="center" wrapText="1"/>
    </x:xf>
    <x:xf numFmtId="0" fontId="7" fillId="3" borderId="2" xfId="0" applyFont="1" applyFill="1" applyBorder="1" applyAlignment="1">
      <x:alignment horizontal="left" vertical="center" wrapText="1"/>
    </x:xf>
    <x:xf numFmtId="0" fontId="7" fillId="3" borderId="3" xfId="0" applyFont="1" applyFill="1" applyBorder="1" applyAlignment="1">
      <x:alignment horizontal="left" vertical="center" wrapText="1"/>
    </x:xf>
    <x:xf numFmtId="0" fontId="7" fillId="3" borderId="4" xfId="0" applyFont="1" applyFill="1" applyBorder="1" applyAlignment="1">
      <x:alignment horizontal="left" vertical="center" wrapText="1"/>
    </x:xf>
    <x:xf numFmtId="0" fontId="7" fillId="3" borderId="0" xfId="0" applyFont="1" applyFill="1" applyAlignment="1">
      <x:alignment horizontal="left" vertical="center" wrapText="1"/>
    </x:xf>
    <x:xf numFmtId="0" fontId="7" fillId="3" borderId="5" xfId="0" applyFont="1" applyFill="1" applyBorder="1" applyAlignment="1">
      <x:alignment horizontal="left" vertical="center" wrapText="1"/>
    </x:xf>
    <x:xf numFmtId="0" fontId="7" fillId="3" borderId="6" xfId="0" applyFont="1" applyFill="1" applyBorder="1" applyAlignment="1">
      <x:alignment horizontal="left" vertical="center" wrapText="1"/>
    </x:xf>
    <x:xf numFmtId="0" fontId="7" fillId="3" borderId="7" xfId="0" applyFont="1" applyFill="1" applyBorder="1" applyAlignment="1">
      <x:alignment horizontal="left" vertical="center" wrapText="1"/>
    </x:xf>
    <x:xf numFmtId="0" fontId="7" fillId="3" borderId="8" xfId="0" applyFont="1" applyFill="1" applyBorder="1" applyAlignment="1">
      <x:alignment horizontal="left" vertical="center" wrapText="1"/>
    </x:xf>
    <x:xf numFmtId="0" fontId="7" fillId="4" borderId="9" xfId="0" applyFont="1" applyFill="1" applyBorder="1" applyAlignment="1">
      <x:alignment horizontal="left" vertical="center" wrapText="1"/>
    </x:xf>
    <x:xf numFmtId="0" fontId="7" fillId="4" borderId="10" xfId="0" applyFont="1" applyFill="1" applyBorder="1" applyAlignment="1">
      <x:alignment horizontal="left" vertical="center" wrapText="1"/>
    </x:xf>
    <x:xf numFmtId="0" fontId="7" fillId="4" borderId="11" xfId="0" applyFont="1" applyFill="1" applyBorder="1" applyAlignment="1">
      <x:alignment horizontal="left" vertical="center" wrapText="1"/>
    </x:xf>
    <x:xf numFmtId="0" fontId="7" fillId="4" borderId="12" xfId="0" applyFont="1" applyFill="1" applyBorder="1" applyAlignment="1">
      <x:alignment horizontal="left" vertical="center" wrapText="1"/>
    </x:xf>
    <x:xf numFmtId="0" fontId="7" fillId="4" borderId="0" xfId="0" applyFont="1" applyFill="1" applyAlignment="1">
      <x:alignment horizontal="left" vertical="center" wrapText="1"/>
    </x:xf>
    <x:xf numFmtId="0" fontId="7" fillId="4" borderId="13" xfId="0" applyFont="1" applyFill="1" applyBorder="1" applyAlignment="1">
      <x:alignment horizontal="left" vertical="center" wrapText="1"/>
    </x:xf>
    <x:xf numFmtId="0" fontId="7" fillId="4" borderId="14" xfId="0" applyFont="1" applyFill="1" applyBorder="1" applyAlignment="1">
      <x:alignment horizontal="left" vertical="center" wrapText="1"/>
    </x:xf>
    <x:xf numFmtId="0" fontId="7" fillId="4" borderId="15" xfId="0" applyFont="1" applyFill="1" applyBorder="1" applyAlignment="1">
      <x:alignment horizontal="left" vertical="center" wrapText="1"/>
    </x:xf>
    <x:xf numFmtId="0" fontId="7" fillId="4" borderId="16" xfId="0" applyFont="1" applyFill="1" applyBorder="1" applyAlignment="1">
      <x:alignment horizontal="left" vertical="center" wrapText="1"/>
    </x:xf>
    <x:xf numFmtId="0" fontId="7" fillId="5" borderId="17" xfId="0" applyFont="1" applyFill="1" applyBorder="1" applyAlignment="1">
      <x:alignment horizontal="left" vertical="center" wrapText="1"/>
    </x:xf>
    <x:xf numFmtId="0" fontId="7" fillId="5" borderId="18" xfId="0" applyFont="1" applyFill="1" applyBorder="1" applyAlignment="1">
      <x:alignment horizontal="left" vertical="center" wrapText="1"/>
    </x:xf>
    <x:xf numFmtId="0" fontId="7" fillId="5" borderId="19" xfId="0" applyFont="1" applyFill="1" applyBorder="1" applyAlignment="1">
      <x:alignment horizontal="left" vertical="center" wrapText="1"/>
    </x:xf>
    <x:xf numFmtId="0" fontId="7" fillId="5" borderId="20" xfId="0" applyFont="1" applyFill="1" applyBorder="1" applyAlignment="1">
      <x:alignment horizontal="left" vertical="center" wrapText="1"/>
    </x:xf>
    <x:xf numFmtId="0" fontId="7" fillId="5" borderId="0" xfId="0" applyFont="1" applyFill="1" applyAlignment="1">
      <x:alignment horizontal="left" vertical="center" wrapText="1"/>
    </x:xf>
    <x:xf numFmtId="0" fontId="7" fillId="5" borderId="21" xfId="0" applyFont="1" applyFill="1" applyBorder="1" applyAlignment="1">
      <x:alignment horizontal="left" vertical="center" wrapText="1"/>
    </x:xf>
    <x:xf numFmtId="0" fontId="7" fillId="5" borderId="22" xfId="0" applyFont="1" applyFill="1" applyBorder="1" applyAlignment="1">
      <x:alignment horizontal="left" vertical="center" wrapText="1"/>
    </x:xf>
    <x:xf numFmtId="0" fontId="7" fillId="5" borderId="23" xfId="0" applyFont="1" applyFill="1" applyBorder="1" applyAlignment="1">
      <x:alignment horizontal="left" vertical="center" wrapText="1"/>
    </x:xf>
    <x:xf numFmtId="0" fontId="7" fillId="5" borderId="24" xfId="0" applyFont="1" applyFill="1" applyBorder="1" applyAlignment="1">
      <x:alignment horizontal="left" vertical="center" wrapText="1"/>
    </x:xf>
    <x:xf numFmtId="0" fontId="8" fillId="6" borderId="25" xfId="0" applyFont="1" applyFill="1" applyBorder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7" fillId="13" borderId="1" xfId="0" applyNumberFormat="1" applyFont="1" applyFill="1" applyBorder="1" applyAlignment="1">
      <x:alignment horizontal="left" vertical="center" wrapText="1"/>
    </x:xf>
    <x:xf numFmtId="0" fontId="7" fillId="13" borderId="2" xfId="0" applyNumberFormat="1" applyFont="1" applyFill="1" applyBorder="1" applyAlignment="1">
      <x:alignment horizontal="left" vertical="center" wrapText="1"/>
    </x:xf>
    <x:xf numFmtId="0" fontId="7" fillId="13" borderId="3" xfId="0" applyNumberFormat="1" applyFont="1" applyFill="1" applyBorder="1" applyAlignment="1">
      <x:alignment horizontal="left" vertical="center" wrapText="1"/>
    </x:xf>
    <x:xf numFmtId="0" fontId="7" fillId="13" borderId="9" xfId="0" applyNumberFormat="1" applyFont="1" applyFill="1" applyBorder="1" applyAlignment="1">
      <x:alignment horizontal="left" vertical="center" wrapText="1"/>
    </x:xf>
    <x:xf numFmtId="0" fontId="7" fillId="13" borderId="10" xfId="0" applyNumberFormat="1" applyFont="1" applyFill="1" applyBorder="1" applyAlignment="1">
      <x:alignment horizontal="left" vertical="center" wrapText="1"/>
    </x:xf>
    <x:xf numFmtId="0" fontId="7" fillId="13" borderId="11" xfId="0" applyNumberFormat="1" applyFont="1" applyFill="1" applyBorder="1" applyAlignment="1">
      <x:alignment horizontal="left" vertical="center" wrapText="1"/>
    </x:xf>
    <x:xf numFmtId="0" fontId="7" fillId="13" borderId="17" xfId="0" applyNumberFormat="1" applyFont="1" applyFill="1" applyBorder="1" applyAlignment="1">
      <x:alignment horizontal="left" vertical="center" wrapText="1"/>
    </x:xf>
    <x:xf numFmtId="0" fontId="7" fillId="13" borderId="18" xfId="0" applyNumberFormat="1" applyFont="1" applyFill="1" applyBorder="1" applyAlignment="1">
      <x:alignment horizontal="left" vertical="center" wrapText="1"/>
    </x:xf>
    <x:xf numFmtId="0" fontId="7" fillId="13" borderId="19" xfId="0" applyNumberFormat="1" applyFont="1" applyFill="1" applyBorder="1" applyAlignment="1">
      <x:alignment horizontal="left" vertical="center" wrapText="1"/>
    </x:xf>
    <x:xf numFmtId="0" fontId="7" fillId="13" borderId="4" xfId="0" applyNumberFormat="1" applyFont="1" applyFill="1" applyBorder="1" applyAlignment="1">
      <x:alignment horizontal="left" vertical="center" wrapText="1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7" fillId="13" borderId="5" xfId="0" applyNumberFormat="1" applyFont="1" applyFill="1" applyBorder="1" applyAlignment="1">
      <x:alignment horizontal="left" vertical="center" wrapText="1"/>
    </x:xf>
    <x:xf numFmtId="0" fontId="7" fillId="13" borderId="12" xfId="0" applyNumberFormat="1" applyFont="1" applyFill="1" applyBorder="1" applyAlignment="1">
      <x:alignment horizontal="left" vertical="center" wrapText="1"/>
    </x:xf>
    <x:xf numFmtId="0" fontId="7" fillId="13" borderId="13" xfId="0" applyNumberFormat="1" applyFont="1" applyFill="1" applyBorder="1" applyAlignment="1">
      <x:alignment horizontal="left" vertical="center" wrapText="1"/>
    </x:xf>
    <x:xf numFmtId="0" fontId="7" fillId="13" borderId="20" xfId="0" applyNumberFormat="1" applyFont="1" applyFill="1" applyBorder="1" applyAlignment="1">
      <x:alignment horizontal="left" vertical="center" wrapText="1"/>
    </x:xf>
    <x:xf numFmtId="0" fontId="7" fillId="13" borderId="21" xfId="0" applyNumberFormat="1" applyFont="1" applyFill="1" applyBorder="1" applyAlignment="1">
      <x:alignment horizontal="left" vertical="center" wrapText="1"/>
    </x:xf>
    <x:xf numFmtId="0" fontId="7" fillId="13" borderId="6" xfId="0" applyNumberFormat="1" applyFont="1" applyFill="1" applyBorder="1" applyAlignment="1">
      <x:alignment horizontal="left" vertical="center" wrapText="1"/>
    </x:xf>
    <x:xf numFmtId="0" fontId="7" fillId="13" borderId="7" xfId="0" applyNumberFormat="1" applyFont="1" applyFill="1" applyBorder="1" applyAlignment="1">
      <x:alignment horizontal="left" vertical="center" wrapText="1"/>
    </x:xf>
    <x:xf numFmtId="0" fontId="7" fillId="13" borderId="8" xfId="0" applyNumberFormat="1" applyFont="1" applyFill="1" applyBorder="1" applyAlignment="1">
      <x:alignment horizontal="left" vertical="center" wrapText="1"/>
    </x:xf>
    <x:xf numFmtId="0" fontId="7" fillId="13" borderId="14" xfId="0" applyNumberFormat="1" applyFont="1" applyFill="1" applyBorder="1" applyAlignment="1">
      <x:alignment horizontal="left" vertical="center" wrapText="1"/>
    </x:xf>
    <x:xf numFmtId="0" fontId="7" fillId="13" borderId="15" xfId="0" applyNumberFormat="1" applyFont="1" applyFill="1" applyBorder="1" applyAlignment="1">
      <x:alignment horizontal="left" vertical="center" wrapText="1"/>
    </x:xf>
    <x:xf numFmtId="0" fontId="7" fillId="13" borderId="16" xfId="0" applyNumberFormat="1" applyFont="1" applyFill="1" applyBorder="1" applyAlignment="1">
      <x:alignment horizontal="left" vertical="center" wrapText="1"/>
    </x:xf>
    <x:xf numFmtId="0" fontId="7" fillId="13" borderId="22" xfId="0" applyNumberFormat="1" applyFont="1" applyFill="1" applyBorder="1" applyAlignment="1">
      <x:alignment horizontal="left" vertical="center" wrapText="1"/>
    </x:xf>
    <x:xf numFmtId="0" fontId="7" fillId="13" borderId="23" xfId="0" applyNumberFormat="1" applyFont="1" applyFill="1" applyBorder="1" applyAlignment="1">
      <x:alignment horizontal="left" vertical="center" wrapText="1"/>
    </x:xf>
    <x:xf numFmtId="0" fontId="7" fillId="13" borderId="24" xfId="0" applyNumberFormat="1" applyFont="1" applyFill="1" applyBorder="1" applyAlignment="1">
      <x:alignment horizontal="left" vertical="center" wrapText="1"/>
    </x:xf>
    <x:xf numFmtId="0" fontId="2" fillId="14" borderId="26" xfId="0" applyNumberFormat="1" applyFont="1" applyFill="1" applyBorder="1" applyAlignment="1">
      <x:alignment horizontal="center" vertical="center"/>
    </x:xf>
    <x:xf numFmtId="0" fontId="2" fillId="14" borderId="26" xfId="0" applyNumberFormat="1" applyFont="1" applyFill="1" applyBorder="1" applyAlignment="1">
      <x:alignment horizontal="left" vertical="center"/>
    </x:xf>
    <x:xf numFmtId="0" fontId="9" fillId="14" borderId="26" xfId="0" applyNumberFormat="1" applyFont="1" applyFill="1" applyBorder="1" applyAlignment="1">
      <x:alignment horizontal="center" vertical="center"/>
    </x:xf>
    <x:xf numFmtId="165" fontId="2" fillId="14" borderId="26" xfId="0" applyNumberFormat="1" applyFont="1" applyFill="1" applyBorder="1" applyAlignment="1">
      <x:alignment horizontal="center" vertical="center"/>
    </x:xf>
    <x:xf numFmtId="0" fontId="2" fillId="14" borderId="28" xfId="0" applyNumberFormat="1" applyFont="1" applyFill="1" applyBorder="1" applyAlignment="1">
      <x:alignment horizontal="center" vertical="center"/>
    </x:xf>
    <x:xf numFmtId="0" fontId="2" fillId="14" borderId="28" xfId="0" applyNumberFormat="1" applyFont="1" applyFill="1" applyBorder="1" applyAlignment="1">
      <x:alignment horizontal="left" vertical="center"/>
    </x:xf>
    <x:xf numFmtId="0" fontId="9" fillId="14" borderId="28" xfId="0" applyNumberFormat="1" applyFont="1" applyFill="1" applyBorder="1" applyAlignment="1">
      <x:alignment horizontal="center" vertical="center"/>
    </x:xf>
    <x:xf numFmtId="0" fontId="11" fillId="14" borderId="28" xfId="0" applyNumberFormat="1" applyFont="1" applyFill="1" applyBorder="1" applyAlignment="1">
      <x:alignment horizontal="center" vertical="center" wrapText="1"/>
    </x:xf>
    <x:xf numFmtId="0" fontId="9" fillId="13" borderId="26" xfId="0" applyNumberFormat="1" applyFont="1" applyFill="1" applyBorder="1" applyAlignment="1">
      <x:alignment horizontal="center" vertical="center"/>
    </x:xf>
    <x:xf numFmtId="0" fontId="9" fillId="13" borderId="28" xfId="0" applyNumberFormat="1" applyFont="1" applyFill="1" applyBorder="1" applyAlignment="1">
      <x:alignment horizontal="center" vertical="center"/>
    </x:xf>
    <x:xf numFmtId="164" fontId="10" fillId="13" borderId="27" xfId="0" applyNumberFormat="1" applyFont="1" applyFill="1" applyBorder="1" applyAlignment="1">
      <x:alignment horizontal="center" vertical="center"/>
    </x:xf>
    <x:xf numFmtId="164" fontId="10" fillId="13" borderId="29" xfId="0" applyNumberFormat="1" applyFont="1" applyFill="1" applyBorder="1" applyAlignment="1">
      <x:alignment horizontal="center" vertical="center"/>
    </x:xf>
    <x:xf numFmtId="164" fontId="10" fillId="13" borderId="30" xfId="0" applyNumberFormat="1" applyFont="1" applyFill="1" applyBorder="1" applyAlignment="1">
      <x:alignment horizontal="center" vertical="center"/>
    </x:xf>
    <x:xf numFmtId="0" fontId="2" fillId="14" borderId="31" xfId="0" applyNumberFormat="1" applyFont="1" applyFill="1" applyBorder="1" applyAlignment="1">
      <x:alignment horizontal="center" vertical="center"/>
    </x:xf>
    <x:xf numFmtId="0" fontId="2" fillId="14" borderId="31" xfId="0" applyNumberFormat="1" applyFont="1" applyFill="1" applyBorder="1" applyAlignment="1">
      <x:alignment horizontal="left" vertical="center"/>
    </x:xf>
    <x:xf numFmtId="0" fontId="9" fillId="13" borderId="31" xfId="0" applyNumberFormat="1" applyFont="1" applyFill="1" applyBorder="1" applyAlignment="1">
      <x:alignment horizontal="center" vertical="center"/>
    </x:xf>
    <x:xf numFmtId="164" fontId="10" fillId="13" borderId="31" xfId="0" applyNumberFormat="1" applyFont="1" applyFill="1" applyBorder="1" applyAlignment="1">
      <x:alignment horizontal="center" vertical="center"/>
    </x:xf>
    <x:xf numFmtId="165" fontId="2" fillId="14" borderId="31" xfId="0" applyNumberFormat="1" applyFont="1" applyFill="1" applyBorder="1" applyAlignment="1">
      <x:alignment horizontal="center" vertical="center"/>
    </x:xf>
    <x:xf numFmtId="0" fontId="11" fillId="14" borderId="31" xfId="0" applyNumberFormat="1" applyFont="1" applyFill="1" applyBorder="1" applyAlignment="1">
      <x:alignment horizontal="center" vertical="center" wrapText="1"/>
    </x:xf>
    <x:xf numFmtId="0" fontId="14" fillId="15" borderId="25" xfId="0" applyNumberFormat="1" applyFont="1" applyFill="1" applyBorder="1" applyAlignment="1">
      <x:alignment horizontal="center" vertical="center" wrapText="1"/>
    </x:xf>
    <x:xf numFmtId="0" fontId="2" fillId="15" borderId="31" xfId="0" applyNumberFormat="1" applyFont="1" applyFill="1" applyBorder="1" applyAlignment="1">
      <x:alignment horizontal="center" vertical="center"/>
    </x:xf>
    <x:xf numFmtId="165" fontId="2" fillId="15" borderId="31" xfId="0" applyNumberFormat="1" applyFont="1" applyFill="1" applyBorder="1" applyAlignment="1">
      <x:alignment horizontal="center" vertical="center"/>
    </x:xf>
    <x:xf numFmtId="0" fontId="11" fillId="15" borderId="31" xfId="0" applyNumberFormat="1" applyFont="1" applyFill="1" applyBorder="1" applyAlignment="1">
      <x:alignment horizontal="center" vertical="center" wrapText="1"/>
    </x:xf>
    <x:xf numFmtId="0" fontId="14" fillId="16" borderId="25" xfId="0" applyNumberFormat="1" applyFont="1" applyFill="1" applyBorder="1" applyAlignment="1">
      <x:alignment horizontal="center" vertical="center" wrapText="1"/>
    </x:xf>
    <x:xf numFmtId="0" fontId="2" fillId="16" borderId="31" xfId="0" applyNumberFormat="1" applyFont="1" applyFill="1" applyBorder="1" applyAlignment="1">
      <x:alignment horizontal="center" vertical="center"/>
    </x:xf>
    <x:xf numFmtId="165" fontId="2" fillId="16" borderId="31" xfId="0" applyNumberFormat="1" applyFont="1" applyFill="1" applyBorder="1" applyAlignment="1">
      <x:alignment horizontal="center" vertical="center"/>
    </x:xf>
    <x:xf numFmtId="0" fontId="11" fillId="16" borderId="31" xfId="0" applyNumberFormat="1" applyFont="1" applyFill="1" applyBorder="1" applyAlignment="1">
      <x:alignment horizontal="center" vertical="center" wrapText="1"/>
    </x:xf>
    <x:xf numFmtId="0" fontId="9" fillId="14" borderId="31" xfId="0" applyNumberFormat="1" applyFont="1" applyFill="1" applyBorder="1" applyAlignment="1">
      <x:alignment horizontal="center" vertical="center"/>
    </x:xf>
    <x:xf numFmtId="0" fontId="15" fillId="14" borderId="31" xfId="0" applyNumberFormat="1" applyFont="1" applyFill="1" applyBorder="1" applyAlignment="1">
      <x:alignment horizontal="center" vertical="center" wrapText="1"/>
    </x:xf>
    <x:xf numFmtId="0" fontId="2" fillId="14" borderId="32" xfId="0" applyNumberFormat="1" applyFont="1" applyFill="1" applyBorder="1" applyAlignment="1">
      <x:alignment horizontal="center" vertical="center"/>
    </x:xf>
    <x:xf numFmtId="0" fontId="2" fillId="14" borderId="32" xfId="0" applyNumberFormat="1" applyFont="1" applyFill="1" applyBorder="1" applyAlignment="1">
      <x:alignment horizontal="left" vertical="center"/>
    </x:xf>
    <x:xf numFmtId="0" fontId="9" fillId="14" borderId="32" xfId="0" applyNumberFormat="1" applyFont="1" applyFill="1" applyBorder="1" applyAlignment="1">
      <x:alignment horizontal="center" vertical="center"/>
    </x:xf>
    <x:xf numFmtId="0" fontId="15" fillId="14" borderId="32" xfId="0" applyNumberFormat="1" applyFont="1" applyFill="1" applyBorder="1" applyAlignment="1">
      <x:alignment horizontal="center" vertical="center" wrapText="1"/>
    </x:xf>
    <x:xf numFmtId="164" fontId="10" fillId="13" borderId="32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72"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0F766E"/>
      </x:font>
      <x:fill>
        <x:patternFill>
          <x:bgColor rgb="FFCCFBF1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5B21B6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0F766E"/>
      </x:font>
      <x:fill>
        <x:patternFill>
          <x:bgColor rgb="FFCCFBF1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5B21B6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0F766E"/>
      </x:font>
      <x:fill>
        <x:patternFill>
          <x:bgColor rgb="FFCCFBF1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5B21B6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0F766E"/>
      </x:font>
      <x:fill>
        <x:patternFill>
          <x:bgColor rgb="FFCCFBF1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5B21B6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D28D9"/>
      </x:font>
    </x:dxf>
    <x:dxf>
      <x:font>
        <x:b/>
        <x:color rgb="FF2563EB"/>
      </x:font>
    </x:dxf>
    <x:dxf>
      <x:font>
        <x:b/>
        <x:color rgb="FF2563EB"/>
      </x:font>
    </x:dxf>
    <x:dxf>
      <x:font>
        <x:b/>
        <x:color rgb="FFDC2626"/>
      </x:font>
    </x:dxf>
    <x:dxf>
      <x:font>
        <x:b/>
        <x:color rgb="FF64748B"/>
      </x:font>
    </x:dxf>
    <x:dxf>
      <x:font>
        <x:b/>
        <x:color rgb="FF0F766E"/>
      </x:font>
    </x:dxf>
    <x:dxf>
      <x:font>
        <x:b/>
        <x:color rgb="FFC2410C"/>
      </x:font>
    </x:dxf>
    <x:dxf>
      <x:font>
        <x:b/>
        <x:color rgb="FFC2410C"/>
      </x:font>
    </x:dxf>
    <x:dxf>
      <x:font>
        <x:b/>
        <x:color rgb="FF9A6700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D28D9"/>
      </x:font>
    </x:dxf>
    <x:dxf>
      <x:font>
        <x:b/>
        <x:color rgb="FF2563EB"/>
      </x:font>
    </x:dxf>
    <x:dxf>
      <x:font>
        <x:b/>
        <x:color rgb="FF2563EB"/>
      </x:font>
    </x:dxf>
    <x:dxf>
      <x:font>
        <x:b/>
        <x:color rgb="FFDC2626"/>
      </x:font>
    </x:dxf>
    <x:dxf>
      <x:font>
        <x:b/>
        <x:color rgb="FF64748B"/>
      </x:font>
    </x:dxf>
    <x:dxf>
      <x:font>
        <x:b/>
        <x:color rgb="FF0F766E"/>
      </x:font>
    </x:dxf>
    <x:dxf>
      <x:font>
        <x:b/>
        <x:color rgb="FFC2410C"/>
      </x:font>
    </x:dxf>
    <x:dxf>
      <x:font>
        <x:b/>
        <x:color rgb="FFC2410C"/>
      </x:font>
    </x:dxf>
    <x:dxf>
      <x:font>
        <x:b/>
        <x:color rgb="FF9A6700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D28D9"/>
      </x:font>
    </x:dxf>
    <x:dxf>
      <x:font>
        <x:b/>
        <x:color rgb="FF2563EB"/>
      </x:font>
    </x:dxf>
    <x:dxf>
      <x:font>
        <x:b/>
        <x:color rgb="FF2563EB"/>
      </x:font>
    </x:dxf>
    <x:dxf>
      <x:font>
        <x:b/>
        <x:color rgb="FFDC2626"/>
      </x:font>
    </x:dxf>
    <x:dxf>
      <x:font>
        <x:b/>
        <x:color rgb="FF64748B"/>
      </x:font>
    </x:dxf>
    <x:dxf>
      <x:font>
        <x:b/>
        <x:color rgb="FF0F766E"/>
      </x:font>
    </x:dxf>
    <x:dxf>
      <x:font>
        <x:b/>
        <x:color rgb="FFC2410C"/>
      </x:font>
    </x:dxf>
    <x:dxf>
      <x:font>
        <x:b/>
        <x:color rgb="FFC2410C"/>
      </x:font>
    </x:dxf>
    <x:dxf>
      <x:font>
        <x:b/>
        <x:color rgb="FF9A6700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D28D9"/>
      </x:font>
    </x:dxf>
    <x:dxf>
      <x:font>
        <x:b/>
        <x:color rgb="FF2563EB"/>
      </x:font>
    </x:dxf>
    <x:dxf>
      <x:font>
        <x:b/>
        <x:color rgb="FF2563EB"/>
      </x:font>
    </x:dxf>
    <x:dxf>
      <x:font>
        <x:b/>
        <x:color rgb="FFDC2626"/>
      </x:font>
    </x:dxf>
    <x:dxf>
      <x:font>
        <x:b/>
        <x:color rgb="FF64748B"/>
      </x:font>
    </x:dxf>
    <x:dxf>
      <x:font>
        <x:b/>
        <x:color rgb="FF0F766E"/>
      </x:font>
    </x:dxf>
    <x:dxf>
      <x:font>
        <x:b/>
        <x:color rgb="FFC2410C"/>
      </x:font>
    </x:dxf>
    <x:dxf>
      <x:font>
        <x:b/>
        <x:color rgb="FFC2410C"/>
      </x:font>
    </x:dxf>
    <x:dxf>
      <x:font>
        <x:b/>
        <x:color rgb="FF9A67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28bb01d3d4782" /><Relationship Type="http://schemas.openxmlformats.org/officeDocument/2006/relationships/theme" Target="/xl/theme/theme1.xml" Id="Ra30b1dc2c8f74a55" /><Relationship Type="http://schemas.openxmlformats.org/officeDocument/2006/relationships/sharedStrings" Target="/xl/sharedStrings.xml" Id="Rb2d386d955e14699" /><Relationship Type="http://schemas.openxmlformats.org/officeDocument/2006/relationships/worksheet" Target="/xl/worksheets/sheet1.xml" Id="Rd7016beb3f8a46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14" topLeftCell="E15" activePane="bottomRight" state="frozen"/>
    </x:sheetView>
  </x:sheetViews>
  <x:sheetFormatPr defaultRowHeight="14.399999618530273"/>
  <x:cols>
    <x:col min="1" max="1" width="5" style="1" customWidth="1"/>
    <x:col min="2" max="2" width="24" style="1" customWidth="1"/>
    <x:col min="3" max="3" width="22" style="1" customWidth="1"/>
    <x:col min="4" max="4" width="14" customWidth="1"/>
    <x:col min="5" max="35" width="7" customWidth="1"/>
    <x:col min="36" max="41" width="10" customWidth="1"/>
    <x:col min="42" max="16384" width="8.88671875" style="1" customWidth="0"/>
  </x:cols>
  <x:sheetData>
    <x:row r="1" ht="15.600000381469727">
      <x:c r="A1" s="63" t="s">
        <x:v>0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1"/>
      <x:c r="AK1" s="1"/>
      <x:c r="AL1" s="1"/>
      <x:c r="AM1" s="1"/>
      <x:c r="AN1" s="1"/>
      <x:c r="AO1" s="1"/>
    </x:row>
    <x:row r="2" ht="13.800000190734863">
      <x:c r="A2" s="65" t="s">
        <x:v>1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1"/>
      <x:c r="AK2" s="1"/>
      <x:c r="AL2" s="1"/>
      <x:c r="AM2" s="1"/>
      <x:c r="AN2" s="1"/>
      <x:c r="AO2" s="1"/>
    </x:row>
    <x:row r="3" ht="13.800000190734863">
      <x:c r="A3" s="65" t="s">
        <x:v>2</x:v>
      </x:c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</x:row>
    <x:row r="4" ht="13.800000190734863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</x:row>
    <x:row r="5" ht="21">
      <x:c r="A5" s="66" t="s">
        <x:v>3</x:v>
      </x:c>
      <x:c r="B5" s="66"/>
      <x:c r="C5" s="66"/>
      <x:c r="D5" s="66"/>
      <x:c r="E5" s="66"/>
      <x:c r="F5" s="66"/>
      <x:c r="G5" s="66"/>
      <x:c r="H5" s="66"/>
      <x:c r="I5" s="66"/>
      <x:c r="J5" s="66"/>
      <x:c r="K5" s="66"/>
      <x:c r="L5" s="66"/>
      <x:c r="M5" s="66"/>
      <x:c r="N5" s="66"/>
      <x:c r="O5" s="66"/>
      <x:c r="P5" s="66"/>
      <x:c r="Q5" s="66"/>
      <x:c r="R5" s="66"/>
      <x:c r="S5" s="66"/>
      <x:c r="T5" s="66"/>
      <x:c r="U5" s="66"/>
      <x:c r="V5" s="66"/>
      <x:c r="W5" s="66"/>
      <x:c r="X5" s="66"/>
      <x:c r="Y5" s="66"/>
      <x:c r="Z5" s="66"/>
      <x:c r="AA5" s="66"/>
      <x:c r="AB5" s="66"/>
      <x:c r="AC5" s="66"/>
      <x:c r="AD5" s="66"/>
      <x:c r="AE5" s="66"/>
      <x:c r="AF5" s="66"/>
      <x:c r="AG5" s="66"/>
      <x:c r="AH5" s="66"/>
      <x:c r="AI5" s="66"/>
      <x:c r="AJ5" s="66"/>
      <x:c r="AK5" s="66"/>
      <x:c r="AL5" s="66"/>
      <x:c r="AM5" s="66"/>
      <x:c r="AN5" s="66"/>
      <x:c r="AO5" s="66"/>
    </x:row>
    <x:row r="6">
      <x:c r="A6" s="34" t="s">
        <x:v>4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  <x:c r="AL6" s="34"/>
      <x:c r="AM6" s="34"/>
      <x:c r="AN6" s="34"/>
      <x:c r="AO6" s="34"/>
    </x:row>
    <x:row r="7" ht="13.800000190734863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</x:row>
    <x:row r="8" ht="26" customHeight="1">
      <x:c r="A8" s="73" t="str">
        <x:v>Ký hiệu trạng thái
x: Có check-in   P: Nghỉ phép cả ngày   N0: Nghỉ không lương   KP: Nghỉ không phép
sP/cP: Nghỉ phép nửa ngày và có check-in nửa ngày còn lại   CL: Công ty cho nghỉ hưởng lương</x:v>
      </x:c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5"/>
      <x:c r="M8" s="73" t="str">
        <x:v>Xử lý nghỉ nửa ngày
sP/KP: Nghỉ phép sáng, chiều không check-in
KP/cP: Sáng không check-in, nghỉ phép chiều
Đơn đang chờ duyệt vẫn dùng mã nghỉ tương ứng</x:v>
      </x:c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5"/>
      <x:c r="Y8" s="73" t="str">
        <x:v>Hiển thị và tổng hợp
x dùng nền xanh; mã đặc biệt chỉ đổi màu chữ. Check-in sau 08:45 tô vàng, không áp dụng cho sP.
(1) Công thực tế   (2) Phép có lương   (3) KP   (4) N0   (5) CL   (6) Công tính lương = (1) + (2) + (5)</x:v>
      </x:c>
      <x:c r="Z8" s="74"/>
      <x:c r="AA8" s="74"/>
      <x:c r="AB8" s="74"/>
      <x:c r="AC8" s="74"/>
      <x:c r="AD8" s="74"/>
      <x:c r="AE8" s="74"/>
      <x:c r="AF8" s="74"/>
      <x:c r="AG8" s="74"/>
      <x:c r="AH8" s="74"/>
      <x:c r="AI8" s="74"/>
      <x:c r="AJ8" s="74"/>
      <x:c r="AK8" s="74"/>
      <x:c r="AL8" s="74"/>
      <x:c r="AM8" s="74"/>
      <x:c r="AN8" s="74"/>
      <x:c r="AO8" s="75"/>
      <x:c r="AQ8"/>
      <x:c r="AR8"/>
      <x:c r="AS8"/>
      <x:c r="AT8"/>
      <x:c r="AU8"/>
      <x:c r="AV8"/>
    </x:row>
    <x:row r="9" ht="26" customHeight="1">
      <x:c r="A9" s="81"/>
      <x:c r="B9" s="77"/>
      <x:c r="C9" s="77"/>
      <x:c r="D9" s="77"/>
      <x:c r="E9" s="77"/>
      <x:c r="F9" s="77"/>
      <x:c r="G9" s="77"/>
      <x:c r="H9" s="77"/>
      <x:c r="I9" s="77"/>
      <x:c r="J9" s="77"/>
      <x:c r="K9" s="77"/>
      <x:c r="L9" s="82"/>
      <x:c r="M9" s="81"/>
      <x:c r="N9" s="77"/>
      <x:c r="O9" s="77"/>
      <x:c r="P9" s="77"/>
      <x:c r="Q9" s="77"/>
      <x:c r="R9" s="77"/>
      <x:c r="S9" s="77"/>
      <x:c r="T9" s="77"/>
      <x:c r="U9" s="77"/>
      <x:c r="V9" s="77"/>
      <x:c r="W9" s="77"/>
      <x:c r="X9" s="82"/>
      <x:c r="Y9" s="81"/>
      <x:c r="Z9" s="77"/>
      <x:c r="AA9" s="77"/>
      <x:c r="AB9" s="77"/>
      <x:c r="AC9" s="77"/>
      <x:c r="AD9" s="77"/>
      <x:c r="AE9" s="77"/>
      <x:c r="AF9" s="77"/>
      <x:c r="AG9" s="77"/>
      <x:c r="AH9" s="77"/>
      <x:c r="AI9" s="77"/>
      <x:c r="AJ9" s="77"/>
      <x:c r="AK9" s="77"/>
      <x:c r="AL9" s="77"/>
      <x:c r="AM9" s="77"/>
      <x:c r="AN9" s="77"/>
      <x:c r="AO9" s="82"/>
      <x:c r="AQ9"/>
      <x:c r="AR9"/>
      <x:c r="AS9"/>
      <x:c r="AT9"/>
      <x:c r="AU9"/>
      <x:c r="AV9"/>
    </x:row>
    <x:row r="10" ht="26" customHeight="1">
      <x:c r="A10" s="89"/>
      <x:c r="B10" s="90"/>
      <x:c r="C10" s="90"/>
      <x:c r="D10" s="90"/>
      <x:c r="E10" s="90"/>
      <x:c r="F10" s="90"/>
      <x:c r="G10" s="90"/>
      <x:c r="H10" s="90"/>
      <x:c r="I10" s="90"/>
      <x:c r="J10" s="90"/>
      <x:c r="K10" s="90"/>
      <x:c r="L10" s="91"/>
      <x:c r="M10" s="89"/>
      <x:c r="N10" s="90"/>
      <x:c r="O10" s="90"/>
      <x:c r="P10" s="90"/>
      <x:c r="Q10" s="90"/>
      <x:c r="R10" s="90"/>
      <x:c r="S10" s="90"/>
      <x:c r="T10" s="90"/>
      <x:c r="U10" s="90"/>
      <x:c r="V10" s="90"/>
      <x:c r="W10" s="90"/>
      <x:c r="X10" s="91"/>
      <x:c r="Y10" s="89"/>
      <x:c r="Z10" s="90"/>
      <x:c r="AA10" s="90"/>
      <x:c r="AB10" s="90"/>
      <x:c r="AC10" s="90"/>
      <x:c r="AD10" s="90"/>
      <x:c r="AE10" s="90"/>
      <x:c r="AF10" s="90"/>
      <x:c r="AG10" s="90"/>
      <x:c r="AH10" s="90"/>
      <x:c r="AI10" s="90"/>
      <x:c r="AJ10" s="90"/>
      <x:c r="AK10" s="90"/>
      <x:c r="AL10" s="90"/>
      <x:c r="AM10" s="90"/>
      <x:c r="AN10" s="90"/>
      <x:c r="AO10" s="91"/>
      <x:c r="AQ10"/>
      <x:c r="AR10"/>
      <x:c r="AS10"/>
      <x:c r="AT10"/>
      <x:c r="AU10"/>
      <x:c r="AV10"/>
    </x:row>
    <x:row r="11" ht="13.800000190734863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</x:row>
    <x:row r="12" ht="24" customHeight="1">
      <x:c r="A12" s="62" t="s">
        <x:v>5</x:v>
      </x:c>
      <x:c r="B12" s="62" t="s">
        <x:v>6</x:v>
      </x:c>
      <x:c r="C12" s="62" t="s">
        <x:v>7</x:v>
      </x:c>
      <x:c r="D12" s="62" t="s">
        <x:v>8</x:v>
      </x:c>
      <x:c r="E12" s="62" t="s">
        <x:v>9</x:v>
      </x:c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  <x:c r="AA12" s="62"/>
      <x:c r="AB12" s="62"/>
      <x:c r="AC12" s="62"/>
      <x:c r="AD12" s="62"/>
      <x:c r="AE12" s="62"/>
      <x:c r="AF12" s="62"/>
      <x:c r="AG12" s="62"/>
      <x:c r="AH12" s="62"/>
      <x:c r="AI12" s="62"/>
      <x:c r="AJ12" s="62" t="s">
        <x:v>10</x:v>
      </x:c>
      <x:c r="AK12" s="62" t="s">
        <x:v>11</x:v>
      </x:c>
      <x:c r="AL12" s="62" t="s">
        <x:v>12</x:v>
      </x:c>
      <x:c r="AM12" s="62" t="s">
        <x:v>13</x:v>
      </x:c>
      <x:c r="AN12" s="62" t="s">
        <x:v>14</x:v>
      </x:c>
      <x:c r="AO12" s="62" t="s">
        <x:v>15</x:v>
      </x:c>
    </x:row>
    <x:row r="13" ht="19.950000762939453" customHeight="1">
      <x:c r="A13" s="62"/>
      <x:c r="B13" s="62"/>
      <x:c r="C13" s="62"/>
      <x:c r="D13" s="62"/>
      <x:c r="E13" s="3" t="s">
        <x:v>16</x:v>
      </x:c>
      <x:c r="F13" s="3" t="s">
        <x:v>17</x:v>
      </x:c>
      <x:c r="G13" s="3" t="s">
        <x:v>18</x:v>
      </x:c>
      <x:c r="H13" s="3" t="s">
        <x:v>19</x:v>
      </x:c>
      <x:c r="I13" s="111" t="s">
        <x:v>20</x:v>
      </x:c>
      <x:c r="J13" s="111" t="s">
        <x:v>21</x:v>
      </x:c>
      <x:c r="K13" s="3" t="s">
        <x:v>22</x:v>
      </x:c>
      <x:c r="L13" s="3" t="s">
        <x:v>16</x:v>
      </x:c>
      <x:c r="M13" s="3" t="s">
        <x:v>17</x:v>
      </x:c>
      <x:c r="N13" s="3" t="s">
        <x:v>18</x:v>
      </x:c>
      <x:c r="O13" s="3" t="s">
        <x:v>19</x:v>
      </x:c>
      <x:c r="P13" s="111" t="s">
        <x:v>20</x:v>
      </x:c>
      <x:c r="Q13" s="111" t="s">
        <x:v>21</x:v>
      </x:c>
      <x:c r="R13" s="3" t="s">
        <x:v>22</x:v>
      </x:c>
      <x:c r="S13" s="3" t="s">
        <x:v>16</x:v>
      </x:c>
      <x:c r="T13" s="3" t="s">
        <x:v>17</x:v>
      </x:c>
      <x:c r="U13" s="3" t="s">
        <x:v>18</x:v>
      </x:c>
      <x:c r="V13" s="3" t="s">
        <x:v>19</x:v>
      </x:c>
      <x:c r="W13" s="111" t="s">
        <x:v>20</x:v>
      </x:c>
      <x:c r="X13" s="111" t="s">
        <x:v>21</x:v>
      </x:c>
      <x:c r="Y13" s="3" t="s">
        <x:v>22</x:v>
      </x:c>
      <x:c r="Z13" s="3" t="s">
        <x:v>16</x:v>
      </x:c>
      <x:c r="AA13" s="3" t="s">
        <x:v>17</x:v>
      </x:c>
      <x:c r="AB13" s="3" t="s">
        <x:v>18</x:v>
      </x:c>
      <x:c r="AC13" s="3" t="s">
        <x:v>19</x:v>
      </x:c>
      <x:c r="AD13" s="111" t="s">
        <x:v>20</x:v>
      </x:c>
      <x:c r="AE13" s="111" t="s">
        <x:v>21</x:v>
      </x:c>
      <x:c r="AF13" s="3" t="s">
        <x:v>22</x:v>
      </x:c>
      <x:c r="AG13" s="3" t="s">
        <x:v>16</x:v>
      </x:c>
      <x:c r="AH13" s="3" t="s">
        <x:v>17</x:v>
      </x:c>
      <x:c r="AI13" s="115" t="s">
        <x:v>23</x:v>
      </x:c>
      <x:c r="AJ13" s="62"/>
      <x:c r="AK13" s="62"/>
      <x:c r="AL13" s="62"/>
      <x:c r="AM13" s="62"/>
      <x:c r="AN13" s="62"/>
      <x:c r="AO13" s="62"/>
    </x:row>
    <x:row r="14" ht="19.950000762939453" customHeight="1">
      <x:c r="A14" s="62"/>
      <x:c r="B14" s="62"/>
      <x:c r="C14" s="62"/>
      <x:c r="D14" s="62"/>
      <x:c r="E14" s="3">
        <x:v>1</x:v>
      </x:c>
      <x:c r="F14" s="3">
        <x:v>2</x:v>
      </x:c>
      <x:c r="G14" s="3">
        <x:v>3</x:v>
      </x:c>
      <x:c r="H14" s="3">
        <x:v>4</x:v>
      </x:c>
      <x:c r="I14" s="111">
        <x:v>5</x:v>
      </x:c>
      <x:c r="J14" s="111">
        <x:v>6</x:v>
      </x:c>
      <x:c r="K14" s="3">
        <x:v>7</x:v>
      </x:c>
      <x:c r="L14" s="3">
        <x:v>8</x:v>
      </x:c>
      <x:c r="M14" s="3">
        <x:v>9</x:v>
      </x:c>
      <x:c r="N14" s="3">
        <x:v>10</x:v>
      </x:c>
      <x:c r="O14" s="3">
        <x:v>11</x:v>
      </x:c>
      <x:c r="P14" s="111">
        <x:v>12</x:v>
      </x:c>
      <x:c r="Q14" s="111">
        <x:v>13</x:v>
      </x:c>
      <x:c r="R14" s="3">
        <x:v>14</x:v>
      </x:c>
      <x:c r="S14" s="3">
        <x:v>15</x:v>
      </x:c>
      <x:c r="T14" s="3">
        <x:v>16</x:v>
      </x:c>
      <x:c r="U14" s="3">
        <x:v>17</x:v>
      </x:c>
      <x:c r="V14" s="3">
        <x:v>18</x:v>
      </x:c>
      <x:c r="W14" s="111">
        <x:v>19</x:v>
      </x:c>
      <x:c r="X14" s="111">
        <x:v>20</x:v>
      </x:c>
      <x:c r="Y14" s="3">
        <x:v>21</x:v>
      </x:c>
      <x:c r="Z14" s="3">
        <x:v>22</x:v>
      </x:c>
      <x:c r="AA14" s="3">
        <x:v>23</x:v>
      </x:c>
      <x:c r="AB14" s="3">
        <x:v>24</x:v>
      </x:c>
      <x:c r="AC14" s="3">
        <x:v>25</x:v>
      </x:c>
      <x:c r="AD14" s="111">
        <x:v>26</x:v>
      </x:c>
      <x:c r="AE14" s="111">
        <x:v>27</x:v>
      </x:c>
      <x:c r="AF14" s="3">
        <x:v>28</x:v>
      </x:c>
      <x:c r="AG14" s="3">
        <x:v>29</x:v>
      </x:c>
      <x:c r="AH14" s="3">
        <x:v>30</x:v>
      </x:c>
      <x:c r="AI14" s="115" t="s">
        <x:v>23</x:v>
      </x:c>
      <x:c r="AJ14" s="62"/>
      <x:c r="AK14" s="62"/>
      <x:c r="AL14" s="62"/>
      <x:c r="AM14" s="62"/>
      <x:c r="AN14" s="62"/>
      <x:c r="AO14" s="62"/>
    </x:row>
    <x:row r="15" ht="22.049999237060547" customHeight="1">
      <x:c r="A15" s="105">
        <x:v>1</x:v>
      </x:c>
      <x:c r="B15" s="106" t="s">
        <x:v>24</x:v>
      </x:c>
      <x:c r="C15" s="106" t="s">
        <x:v>25</x:v>
      </x:c>
      <x:c r="D15" s="107" t="s">
        <x:v>26</x:v>
      </x:c>
      <x:c r="E15" s="105" t="s">
        <x:v>27</x:v>
      </x:c>
      <x:c r="F15" s="105" t="s">
        <x:v>27</x:v>
      </x:c>
      <x:c r="G15" s="105" t="s">
        <x:v>27</x:v>
      </x:c>
      <x:c r="H15" s="105" t="s">
        <x:v>28</x:v>
      </x:c>
      <x:c r="I15" s="112"/>
      <x:c r="J15" s="112"/>
      <x:c r="K15" s="105" t="s">
        <x:v>27</x:v>
      </x:c>
      <x:c r="L15" s="105" t="s">
        <x:v>27</x:v>
      </x:c>
      <x:c r="M15" s="105"/>
      <x:c r="N15" s="105"/>
      <x:c r="O15" s="105"/>
      <x:c r="P15" s="112"/>
      <x:c r="Q15" s="112"/>
      <x:c r="R15" s="105"/>
      <x:c r="S15" s="105"/>
      <x:c r="T15" s="105"/>
      <x:c r="U15" s="105"/>
      <x:c r="V15" s="105"/>
      <x:c r="W15" s="112"/>
      <x:c r="X15" s="112"/>
      <x:c r="Y15" s="105"/>
      <x:c r="Z15" s="105"/>
      <x:c r="AA15" s="105"/>
      <x:c r="AB15" s="105"/>
      <x:c r="AC15" s="105"/>
      <x:c r="AD15" s="112"/>
      <x:c r="AE15" s="112"/>
      <x:c r="AF15" s="105"/>
      <x:c r="AG15" s="105"/>
      <x:c r="AH15" s="105"/>
      <x:c r="AI15" s="116"/>
      <x:c r="AJ15" s="108" t="n">
        <x:f>COUNTIF(E15:AI15,"x")+0.5*COUNTIF(E15:AI15,"sP")+0.5*COUNTIF(E15:AI15,"cP")</x:f>
        <x:v>5</x:v>
      </x:c>
      <x:c r="AK15" s="108" t="n">
        <x:f>COUNTIF(E15:AI15,"P")+0.5*COUNTIF(E15:AI15,"sP")+0.5*COUNTIF(E15:AI15,"cP")+0.5*COUNTIF(E15:AI15,"sP/KP")+0.5*COUNTIF(E15:AI15,"KP/cP")</x:f>
        <x:v>1</x:v>
      </x:c>
      <x:c r="AL15" s="108" t="n">
        <x:f>COUNTIF(E15:AI15,"KP")+0.5*COUNTIF(E15:AI15,"sP/KP")+0.5*COUNTIF(E15:AI15,"KP/cP")</x:f>
        <x:v>0</x:v>
      </x:c>
      <x:c r="AM15" s="108" t="n">
        <x:f>COUNTIF(E15:AI15,"N0")</x:f>
        <x:v>0</x:v>
      </x:c>
      <x:c r="AN15" s="108" t="n">
        <x:f>COUNTIF(E15:AI15,"CL")</x:f>
        <x:v>0</x:v>
      </x:c>
      <x:c r="AO15" s="108" t="n">
        <x:f>AJ15+AK15+AN15</x:f>
        <x:v>6</x:v>
      </x:c>
    </x:row>
    <x:row r="16" ht="22.049999237060547" customHeight="1">
      <x:c r="A16" s="105"/>
      <x:c r="B16" s="106"/>
      <x:c r="C16" s="106"/>
      <x:c r="D16" s="107" t="s">
        <x:v>29</x:v>
      </x:c>
      <x:c r="E16" s="109">
        <x:v>0.33402777777777776</x:v>
      </x:c>
      <x:c r="F16" s="109">
        <x:v>0.33055555555555555</x:v>
      </x:c>
      <x:c r="G16" s="109">
        <x:v>0.33541666666666664</x:v>
      </x:c>
      <x:c r="H16" s="109"/>
      <x:c r="I16" s="113"/>
      <x:c r="J16" s="113"/>
      <x:c r="K16" s="109">
        <x:v>0.33333333333333331</x:v>
      </x:c>
      <x:c r="L16" s="109">
        <x:v>0.33750000000000002</x:v>
      </x:c>
      <x:c r="M16" s="109"/>
      <x:c r="N16" s="109"/>
      <x:c r="O16" s="109"/>
      <x:c r="P16" s="113"/>
      <x:c r="Q16" s="113"/>
      <x:c r="R16" s="109"/>
      <x:c r="S16" s="109"/>
      <x:c r="T16" s="109"/>
      <x:c r="U16" s="109"/>
      <x:c r="V16" s="109"/>
      <x:c r="W16" s="113"/>
      <x:c r="X16" s="113"/>
      <x:c r="Y16" s="109"/>
      <x:c r="Z16" s="109"/>
      <x:c r="AA16" s="109"/>
      <x:c r="AB16" s="109"/>
      <x:c r="AC16" s="109"/>
      <x:c r="AD16" s="113"/>
      <x:c r="AE16" s="113"/>
      <x:c r="AF16" s="109"/>
      <x:c r="AG16" s="109"/>
      <x:c r="AH16" s="109"/>
      <x:c r="AI16" s="117"/>
      <x:c r="AJ16" s="108"/>
      <x:c r="AK16" s="108"/>
      <x:c r="AL16" s="108"/>
      <x:c r="AM16" s="108"/>
      <x:c r="AN16" s="108"/>
      <x:c r="AO16" s="108"/>
    </x:row>
    <x:row r="17" ht="34.04999923706055" customHeight="1">
      <x:c r="A17" s="121"/>
      <x:c r="B17" s="122"/>
      <x:c r="C17" s="122"/>
      <x:c r="D17" s="123" t="s">
        <x:v>30</x:v>
      </x:c>
      <x:c r="E17" s="124"/>
      <x:c r="F17" s="124"/>
      <x:c r="G17" s="124"/>
      <x:c r="H17" s="124"/>
      <x:c r="I17" s="124"/>
      <x:c r="J17" s="124"/>
      <x:c r="K17" s="124"/>
      <x:c r="L17" s="124"/>
      <x:c r="M17" s="124"/>
      <x:c r="N17" s="124"/>
      <x:c r="O17" s="124"/>
      <x:c r="P17" s="124"/>
      <x:c r="Q17" s="124"/>
      <x:c r="R17" s="124"/>
      <x:c r="S17" s="124"/>
      <x:c r="T17" s="124"/>
      <x:c r="U17" s="124"/>
      <x:c r="V17" s="124"/>
      <x:c r="W17" s="124"/>
      <x:c r="X17" s="124"/>
      <x:c r="Y17" s="124"/>
      <x:c r="Z17" s="124"/>
      <x:c r="AA17" s="124"/>
      <x:c r="AB17" s="124"/>
      <x:c r="AC17" s="124"/>
      <x:c r="AD17" s="124"/>
      <x:c r="AE17" s="124"/>
      <x:c r="AF17" s="124"/>
      <x:c r="AG17" s="124"/>
      <x:c r="AH17" s="124"/>
      <x:c r="AI17" s="124"/>
      <x:c r="AJ17" s="125"/>
      <x:c r="AK17" s="125"/>
      <x:c r="AL17" s="125"/>
      <x:c r="AM17" s="125"/>
      <x:c r="AN17" s="125"/>
      <x:c r="AO17" s="125"/>
    </x:row>
    <x:row r="18" ht="22.049999237060547" customHeight="1">
      <x:c r="A18" s="105">
        <x:v>2</x:v>
      </x:c>
      <x:c r="B18" s="106" t="s">
        <x:v>31</x:v>
      </x:c>
      <x:c r="C18" s="106" t="s">
        <x:v>25</x:v>
      </x:c>
      <x:c r="D18" s="107" t="s">
        <x:v>26</x:v>
      </x:c>
      <x:c r="E18" s="105" t="s">
        <x:v>27</x:v>
      </x:c>
      <x:c r="F18" s="105" t="s">
        <x:v>27</x:v>
      </x:c>
      <x:c r="G18" s="105" t="s">
        <x:v>32</x:v>
      </x:c>
      <x:c r="H18" s="105" t="s">
        <x:v>27</x:v>
      </x:c>
      <x:c r="I18" s="112"/>
      <x:c r="J18" s="112"/>
      <x:c r="K18" s="105" t="s">
        <x:v>27</x:v>
      </x:c>
      <x:c r="L18" s="105" t="s">
        <x:v>27</x:v>
      </x:c>
      <x:c r="M18" s="105"/>
      <x:c r="N18" s="105"/>
      <x:c r="O18" s="105"/>
      <x:c r="P18" s="112"/>
      <x:c r="Q18" s="112"/>
      <x:c r="R18" s="105"/>
      <x:c r="S18" s="105"/>
      <x:c r="T18" s="105"/>
      <x:c r="U18" s="105"/>
      <x:c r="V18" s="105"/>
      <x:c r="W18" s="112"/>
      <x:c r="X18" s="112"/>
      <x:c r="Y18" s="105"/>
      <x:c r="Z18" s="105"/>
      <x:c r="AA18" s="105"/>
      <x:c r="AB18" s="105"/>
      <x:c r="AC18" s="105"/>
      <x:c r="AD18" s="112"/>
      <x:c r="AE18" s="112"/>
      <x:c r="AF18" s="105"/>
      <x:c r="AG18" s="105"/>
      <x:c r="AH18" s="105"/>
      <x:c r="AI18" s="116"/>
      <x:c r="AJ18" s="108" t="n">
        <x:f>COUNTIF(E18:AI18,"x")+0.5*COUNTIF(E18:AI18,"sP")+0.5*COUNTIF(E18:AI18,"cP")</x:f>
        <x:v>5.5</x:v>
      </x:c>
      <x:c r="AK18" s="108" t="n">
        <x:f>COUNTIF(E18:AI18,"P")+0.5*COUNTIF(E18:AI18,"sP")+0.5*COUNTIF(E18:AI18,"cP")+0.5*COUNTIF(E18:AI18,"sP/KP")+0.5*COUNTIF(E18:AI18,"KP/cP")</x:f>
        <x:v>0.5</x:v>
      </x:c>
      <x:c r="AL18" s="108" t="n">
        <x:f>COUNTIF(E18:AI18,"KP")+0.5*COUNTIF(E18:AI18,"sP/KP")+0.5*COUNTIF(E18:AI18,"KP/cP")</x:f>
        <x:v>0</x:v>
      </x:c>
      <x:c r="AM18" s="108" t="n">
        <x:f>COUNTIF(E18:AI18,"N0")</x:f>
        <x:v>0</x:v>
      </x:c>
      <x:c r="AN18" s="108" t="n">
        <x:f>COUNTIF(E18:AI18,"CL")</x:f>
        <x:v>0</x:v>
      </x:c>
      <x:c r="AO18" s="108" t="n">
        <x:f>AJ18+AK18+AN18</x:f>
        <x:v>6</x:v>
      </x:c>
    </x:row>
    <x:row r="19" ht="22.049999237060547" customHeight="1">
      <x:c r="A19" s="105"/>
      <x:c r="B19" s="106"/>
      <x:c r="C19" s="106"/>
      <x:c r="D19" s="107" t="s">
        <x:v>29</x:v>
      </x:c>
      <x:c r="E19" s="109">
        <x:v>0.36249999999999999</x:v>
      </x:c>
      <x:c r="F19" s="109">
        <x:v>0.3347222222222222</x:v>
      </x:c>
      <x:c r="G19" s="109">
        <x:v>0.33194444444444443</x:v>
      </x:c>
      <x:c r="H19" s="109">
        <x:v>0.33680555555555558</x:v>
      </x:c>
      <x:c r="I19" s="113"/>
      <x:c r="J19" s="113"/>
      <x:c r="K19" s="109">
        <x:v>0.34513888888888888</x:v>
      </x:c>
      <x:c r="L19" s="109">
        <x:v>0.33263888888888887</x:v>
      </x:c>
      <x:c r="M19" s="109"/>
      <x:c r="N19" s="109"/>
      <x:c r="O19" s="109"/>
      <x:c r="P19" s="113"/>
      <x:c r="Q19" s="113"/>
      <x:c r="R19" s="109"/>
      <x:c r="S19" s="109"/>
      <x:c r="T19" s="109"/>
      <x:c r="U19" s="109"/>
      <x:c r="V19" s="109"/>
      <x:c r="W19" s="113"/>
      <x:c r="X19" s="113"/>
      <x:c r="Y19" s="109"/>
      <x:c r="Z19" s="109"/>
      <x:c r="AA19" s="109"/>
      <x:c r="AB19" s="109"/>
      <x:c r="AC19" s="109"/>
      <x:c r="AD19" s="113"/>
      <x:c r="AE19" s="113"/>
      <x:c r="AF19" s="109"/>
      <x:c r="AG19" s="109"/>
      <x:c r="AH19" s="109"/>
      <x:c r="AI19" s="117"/>
      <x:c r="AJ19" s="108"/>
      <x:c r="AK19" s="108"/>
      <x:c r="AL19" s="108"/>
      <x:c r="AM19" s="108"/>
      <x:c r="AN19" s="108"/>
      <x:c r="AO19" s="108"/>
    </x:row>
    <x:row r="20" ht="34.04999923706055" customHeight="1">
      <x:c r="A20" s="121"/>
      <x:c r="B20" s="122"/>
      <x:c r="C20" s="122"/>
      <x:c r="D20" s="123" t="s">
        <x:v>30</x:v>
      </x:c>
      <x:c r="E20" s="124" t="s">
        <x:v>33</x:v>
      </x:c>
      <x:c r="F20" s="124"/>
      <x:c r="G20" s="124"/>
      <x:c r="H20" s="124"/>
      <x:c r="I20" s="124"/>
      <x:c r="J20" s="124"/>
      <x:c r="K20" s="124"/>
      <x:c r="L20" s="124"/>
      <x:c r="M20" s="124"/>
      <x:c r="N20" s="124"/>
      <x:c r="O20" s="124"/>
      <x:c r="P20" s="124"/>
      <x:c r="Q20" s="124"/>
      <x:c r="R20" s="124"/>
      <x:c r="S20" s="124"/>
      <x:c r="T20" s="124"/>
      <x:c r="U20" s="124"/>
      <x:c r="V20" s="124"/>
      <x:c r="W20" s="124"/>
      <x:c r="X20" s="124"/>
      <x:c r="Y20" s="124"/>
      <x:c r="Z20" s="124"/>
      <x:c r="AA20" s="124"/>
      <x:c r="AB20" s="124"/>
      <x:c r="AC20" s="124"/>
      <x:c r="AD20" s="124"/>
      <x:c r="AE20" s="124"/>
      <x:c r="AF20" s="124"/>
      <x:c r="AG20" s="124"/>
      <x:c r="AH20" s="124"/>
      <x:c r="AI20" s="124"/>
      <x:c r="AJ20" s="125"/>
      <x:c r="AK20" s="125"/>
      <x:c r="AL20" s="125"/>
      <x:c r="AM20" s="125"/>
      <x:c r="AN20" s="125"/>
      <x:c r="AO20" s="125"/>
    </x:row>
    <x:row r="21" ht="22.049999237060547" customHeight="1">
      <x:c r="A21" s="105">
        <x:v>3</x:v>
      </x:c>
      <x:c r="B21" s="106" t="s">
        <x:v>34</x:v>
      </x:c>
      <x:c r="C21" s="106" t="s">
        <x:v>25</x:v>
      </x:c>
      <x:c r="D21" s="107" t="s">
        <x:v>26</x:v>
      </x:c>
      <x:c r="E21" s="105" t="s">
        <x:v>27</x:v>
      </x:c>
      <x:c r="F21" s="105" t="s">
        <x:v>35</x:v>
      </x:c>
      <x:c r="G21" s="105" t="s">
        <x:v>27</x:v>
      </x:c>
      <x:c r="H21" s="105" t="s">
        <x:v>36</x:v>
      </x:c>
      <x:c r="I21" s="112"/>
      <x:c r="J21" s="112"/>
      <x:c r="K21" s="105" t="s">
        <x:v>27</x:v>
      </x:c>
      <x:c r="L21" s="105" t="s">
        <x:v>27</x:v>
      </x:c>
      <x:c r="M21" s="105"/>
      <x:c r="N21" s="105"/>
      <x:c r="O21" s="105"/>
      <x:c r="P21" s="112"/>
      <x:c r="Q21" s="112"/>
      <x:c r="R21" s="105"/>
      <x:c r="S21" s="105"/>
      <x:c r="T21" s="105"/>
      <x:c r="U21" s="105"/>
      <x:c r="V21" s="105"/>
      <x:c r="W21" s="112"/>
      <x:c r="X21" s="112"/>
      <x:c r="Y21" s="105"/>
      <x:c r="Z21" s="105"/>
      <x:c r="AA21" s="105"/>
      <x:c r="AB21" s="105"/>
      <x:c r="AC21" s="105"/>
      <x:c r="AD21" s="112"/>
      <x:c r="AE21" s="112"/>
      <x:c r="AF21" s="105"/>
      <x:c r="AG21" s="105"/>
      <x:c r="AH21" s="105"/>
      <x:c r="AI21" s="116"/>
      <x:c r="AJ21" s="108" t="n">
        <x:f>COUNTIF(E21:AI21,"x")+0.5*COUNTIF(E21:AI21,"sP")+0.5*COUNTIF(E21:AI21,"cP")</x:f>
        <x:v>4.5</x:v>
      </x:c>
      <x:c r="AK21" s="108" t="n">
        <x:f>COUNTIF(E21:AI21,"P")+0.5*COUNTIF(E21:AI21,"sP")+0.5*COUNTIF(E21:AI21,"cP")+0.5*COUNTIF(E21:AI21,"sP/KP")+0.5*COUNTIF(E21:AI21,"KP/cP")</x:f>
        <x:v>0.5</x:v>
      </x:c>
      <x:c r="AL21" s="108" t="n">
        <x:f>COUNTIF(E21:AI21,"KP")+0.5*COUNTIF(E21:AI21,"sP/KP")+0.5*COUNTIF(E21:AI21,"KP/cP")</x:f>
        <x:v>0</x:v>
      </x:c>
      <x:c r="AM21" s="108" t="n">
        <x:f>COUNTIF(E21:AI21,"N0")</x:f>
        <x:v>0</x:v>
      </x:c>
      <x:c r="AN21" s="108" t="n">
        <x:f>COUNTIF(E21:AI21,"CL")</x:f>
        <x:v>1</x:v>
      </x:c>
      <x:c r="AO21" s="108" t="n">
        <x:f>AJ21+AK21+AN21</x:f>
        <x:v>6</x:v>
      </x:c>
    </x:row>
    <x:row r="22" ht="22.049999237060547" customHeight="1">
      <x:c r="A22" s="105"/>
      <x:c r="B22" s="106"/>
      <x:c r="C22" s="106"/>
      <x:c r="D22" s="107" t="s">
        <x:v>29</x:v>
      </x:c>
      <x:c r="E22" s="109">
        <x:v>0.38194444444444442</x:v>
      </x:c>
      <x:c r="F22" s="109">
        <x:v>0.5444444444444444</x:v>
      </x:c>
      <x:c r="G22" s="109">
        <x:v>0.33333333333333331</x:v>
      </x:c>
      <x:c r="H22" s="109"/>
      <x:c r="I22" s="113"/>
      <x:c r="J22" s="113"/>
      <x:c r="K22" s="109">
        <x:v>0.33611111111111114</x:v>
      </x:c>
      <x:c r="L22" s="109">
        <x:v>0.34166666666666667</x:v>
      </x:c>
      <x:c r="M22" s="109"/>
      <x:c r="N22" s="109"/>
      <x:c r="O22" s="109"/>
      <x:c r="P22" s="113"/>
      <x:c r="Q22" s="113"/>
      <x:c r="R22" s="109"/>
      <x:c r="S22" s="109"/>
      <x:c r="T22" s="109"/>
      <x:c r="U22" s="109"/>
      <x:c r="V22" s="109"/>
      <x:c r="W22" s="113"/>
      <x:c r="X22" s="113"/>
      <x:c r="Y22" s="109"/>
      <x:c r="Z22" s="109"/>
      <x:c r="AA22" s="109"/>
      <x:c r="AB22" s="109"/>
      <x:c r="AC22" s="109"/>
      <x:c r="AD22" s="113"/>
      <x:c r="AE22" s="113"/>
      <x:c r="AF22" s="109"/>
      <x:c r="AG22" s="109"/>
      <x:c r="AH22" s="109"/>
      <x:c r="AI22" s="117"/>
      <x:c r="AJ22" s="108"/>
      <x:c r="AK22" s="108"/>
      <x:c r="AL22" s="108"/>
      <x:c r="AM22" s="108"/>
      <x:c r="AN22" s="108"/>
      <x:c r="AO22" s="108"/>
    </x:row>
    <x:row r="23" ht="34.04999923706055" customHeight="1">
      <x:c r="A23" s="121"/>
      <x:c r="B23" s="122"/>
      <x:c r="C23" s="122"/>
      <x:c r="D23" s="123" t="s">
        <x:v>30</x:v>
      </x:c>
      <x:c r="E23" s="124" t="s">
        <x:v>37</x:v>
      </x:c>
      <x:c r="F23" s="124"/>
      <x:c r="G23" s="124"/>
      <x:c r="H23" s="124"/>
      <x:c r="I23" s="124"/>
      <x:c r="J23" s="124"/>
      <x:c r="K23" s="124"/>
      <x:c r="L23" s="124"/>
      <x:c r="M23" s="124"/>
      <x:c r="N23" s="124"/>
      <x:c r="O23" s="124"/>
      <x:c r="P23" s="124"/>
      <x:c r="Q23" s="124"/>
      <x:c r="R23" s="124"/>
      <x:c r="S23" s="124"/>
      <x:c r="T23" s="124"/>
      <x:c r="U23" s="124"/>
      <x:c r="V23" s="124"/>
      <x:c r="W23" s="124"/>
      <x:c r="X23" s="124"/>
      <x:c r="Y23" s="124"/>
      <x:c r="Z23" s="124"/>
      <x:c r="AA23" s="124"/>
      <x:c r="AB23" s="124"/>
      <x:c r="AC23" s="124"/>
      <x:c r="AD23" s="124"/>
      <x:c r="AE23" s="124"/>
      <x:c r="AF23" s="124"/>
      <x:c r="AG23" s="124"/>
      <x:c r="AH23" s="124"/>
      <x:c r="AI23" s="124"/>
      <x:c r="AJ23" s="125"/>
      <x:c r="AK23" s="125"/>
      <x:c r="AL23" s="125"/>
      <x:c r="AM23" s="125"/>
      <x:c r="AN23" s="125"/>
      <x:c r="AO23" s="125"/>
    </x:row>
    <x:row r="24" ht="22.049999237060547" customHeight="1">
      <x:c r="A24" s="105">
        <x:v>4</x:v>
      </x:c>
      <x:c r="B24" s="106" t="s">
        <x:v>38</x:v>
      </x:c>
      <x:c r="C24" s="106" t="s">
        <x:v>25</x:v>
      </x:c>
      <x:c r="D24" s="107" t="s">
        <x:v>26</x:v>
      </x:c>
      <x:c r="E24" s="105" t="s">
        <x:v>39</x:v>
      </x:c>
      <x:c r="F24" s="105" t="s">
        <x:v>27</x:v>
      </x:c>
      <x:c r="G24" s="105" t="str">
        <x:v>sP/KP</x:v>
      </x:c>
      <x:c r="H24" s="105" t="s">
        <x:v>27</x:v>
      </x:c>
      <x:c r="I24" s="112"/>
      <x:c r="J24" s="112"/>
      <x:c r="K24" s="105" t="s">
        <x:v>27</x:v>
      </x:c>
      <x:c r="L24" s="105" t="str">
        <x:v>KP/cP</x:v>
      </x:c>
      <x:c r="M24" s="105"/>
      <x:c r="N24" s="105"/>
      <x:c r="O24" s="105"/>
      <x:c r="P24" s="112"/>
      <x:c r="Q24" s="112"/>
      <x:c r="R24" s="105"/>
      <x:c r="S24" s="105"/>
      <x:c r="T24" s="105"/>
      <x:c r="U24" s="105"/>
      <x:c r="V24" s="105"/>
      <x:c r="W24" s="112"/>
      <x:c r="X24" s="112"/>
      <x:c r="Y24" s="105"/>
      <x:c r="Z24" s="105"/>
      <x:c r="AA24" s="105"/>
      <x:c r="AB24" s="105"/>
      <x:c r="AC24" s="105"/>
      <x:c r="AD24" s="112"/>
      <x:c r="AE24" s="112"/>
      <x:c r="AF24" s="105"/>
      <x:c r="AG24" s="105"/>
      <x:c r="AH24" s="105"/>
      <x:c r="AI24" s="116"/>
      <x:c r="AJ24" s="108" t="n">
        <x:f>COUNTIF(E24:AI24,"x")+0.5*COUNTIF(E24:AI24,"sP")+0.5*COUNTIF(E24:AI24,"cP")</x:f>
        <x:v>3</x:v>
      </x:c>
      <x:c r="AK24" s="108" t="n">
        <x:f>COUNTIF(E24:AI24,"P")+0.5*COUNTIF(E24:AI24,"sP")+0.5*COUNTIF(E24:AI24,"cP")+0.5*COUNTIF(E24:AI24,"sP/KP")+0.5*COUNTIF(E24:AI24,"KP/cP")</x:f>
        <x:v>1</x:v>
      </x:c>
      <x:c r="AL24" s="108" t="n">
        <x:f>COUNTIF(E24:AI24,"KP")+0.5*COUNTIF(E24:AI24,"sP/KP")+0.5*COUNTIF(E24:AI24,"KP/cP")</x:f>
        <x:v>1</x:v>
      </x:c>
      <x:c r="AM24" s="108" t="n">
        <x:f>COUNTIF(E24:AI24,"N0")</x:f>
        <x:v>1</x:v>
      </x:c>
      <x:c r="AN24" s="108" t="n">
        <x:f>COUNTIF(E24:AI24,"CL")</x:f>
        <x:v>0</x:v>
      </x:c>
      <x:c r="AO24" s="108" t="n">
        <x:f>AJ24+AK24+AN24</x:f>
        <x:v>4</x:v>
      </x:c>
    </x:row>
    <x:row r="25" ht="22.049999237060547" customHeight="1">
      <x:c r="A25" s="105"/>
      <x:c r="B25" s="106"/>
      <x:c r="C25" s="106"/>
      <x:c r="D25" s="107" t="s">
        <x:v>29</x:v>
      </x:c>
      <x:c r="E25" s="109"/>
      <x:c r="F25" s="109">
        <x:v>0.33333333333333331</x:v>
      </x:c>
      <x:c r="G25" s="109"/>
      <x:c r="H25" s="109">
        <x:v>0.32708333333333334</x:v>
      </x:c>
      <x:c r="I25" s="113"/>
      <x:c r="J25" s="113"/>
      <x:c r="K25" s="109">
        <x:v>0.3527777777777778</x:v>
      </x:c>
      <x:c r="L25" s="109"/>
      <x:c r="M25" s="109"/>
      <x:c r="N25" s="109"/>
      <x:c r="O25" s="109"/>
      <x:c r="P25" s="113"/>
      <x:c r="Q25" s="113"/>
      <x:c r="R25" s="109"/>
      <x:c r="S25" s="109"/>
      <x:c r="T25" s="109"/>
      <x:c r="U25" s="109"/>
      <x:c r="V25" s="109"/>
      <x:c r="W25" s="113"/>
      <x:c r="X25" s="113"/>
      <x:c r="Y25" s="109"/>
      <x:c r="Z25" s="109"/>
      <x:c r="AA25" s="109"/>
      <x:c r="AB25" s="109"/>
      <x:c r="AC25" s="109"/>
      <x:c r="AD25" s="113"/>
      <x:c r="AE25" s="113"/>
      <x:c r="AF25" s="109"/>
      <x:c r="AG25" s="109"/>
      <x:c r="AH25" s="109"/>
      <x:c r="AI25" s="117"/>
      <x:c r="AJ25" s="108"/>
      <x:c r="AK25" s="108"/>
      <x:c r="AL25" s="108"/>
      <x:c r="AM25" s="108"/>
      <x:c r="AN25" s="108"/>
      <x:c r="AO25" s="108"/>
    </x:row>
    <x:row r="26" ht="34.04999923706055" customHeight="1">
      <x:c r="A26" s="121"/>
      <x:c r="B26" s="122"/>
      <x:c r="C26" s="122"/>
      <x:c r="D26" s="123" t="s">
        <x:v>30</x:v>
      </x:c>
      <x:c r="E26" s="124"/>
      <x:c r="F26" s="124"/>
      <x:c r="G26" s="124"/>
      <x:c r="H26" s="124"/>
      <x:c r="I26" s="124"/>
      <x:c r="J26" s="124"/>
      <x:c r="K26" s="124" t="s">
        <x:v>40</x:v>
      </x:c>
      <x:c r="L26" s="124"/>
      <x:c r="M26" s="124"/>
      <x:c r="N26" s="124"/>
      <x:c r="O26" s="124"/>
      <x:c r="P26" s="124"/>
      <x:c r="Q26" s="124"/>
      <x:c r="R26" s="124"/>
      <x:c r="S26" s="124"/>
      <x:c r="T26" s="124"/>
      <x:c r="U26" s="124"/>
      <x:c r="V26" s="124"/>
      <x:c r="W26" s="124"/>
      <x:c r="X26" s="124"/>
      <x:c r="Y26" s="124"/>
      <x:c r="Z26" s="124"/>
      <x:c r="AA26" s="124"/>
      <x:c r="AB26" s="124"/>
      <x:c r="AC26" s="124"/>
      <x:c r="AD26" s="124"/>
      <x:c r="AE26" s="124"/>
      <x:c r="AF26" s="124"/>
      <x:c r="AG26" s="124"/>
      <x:c r="AH26" s="124"/>
      <x:c r="AI26" s="124"/>
      <x:c r="AJ26" s="125"/>
      <x:c r="AK26" s="125"/>
      <x:c r="AL26" s="125"/>
      <x:c r="AM26" s="125"/>
      <x:c r="AN26" s="125"/>
      <x:c r="AO26" s="125"/>
    </x:row>
    <x:row r="27" ht="24" customHeight="1">
      <x:c r="A27" s="21" t="s">
        <x:v>41</x:v>
      </x:c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  <x:c r="AA27" s="21"/>
      <x:c r="AB27" s="21"/>
      <x:c r="AC27" s="21"/>
      <x:c r="AD27" s="21"/>
      <x:c r="AE27" s="21"/>
      <x:c r="AF27" s="21"/>
      <x:c r="AG27" s="21"/>
      <x:c r="AH27" s="21"/>
      <x:c r="AI27" s="21"/>
      <x:c r="AJ27" s="18" t="n">
        <x:f t="shared" ref="AJ27:AO27" si="0">AJ15+AJ18+AJ21+AJ24</x:f>
        <x:v>18</x:v>
      </x:c>
      <x:c r="AK27" s="18" t="n">
        <x:f t="shared" si="0">AK15+AK18+AK21+AK24</x:f>
        <x:v>3</x:v>
      </x:c>
      <x:c r="AL27" s="18" t="n">
        <x:f t="shared" si="0">AL15+AL18+AL21+AL24</x:f>
        <x:v>1</x:v>
      </x:c>
      <x:c r="AM27" s="18" t="n">
        <x:f t="shared" si="0">AM15+AM18+AM21+AM24</x:f>
        <x:v>1</x:v>
      </x:c>
      <x:c r="AN27" s="18" t="n">
        <x:f t="shared" si="0">AN15+AN18+AN21+AN24</x:f>
        <x:v>1</x:v>
      </x:c>
      <x:c r="AO27" s="18" t="n">
        <x:f t="shared" si="0">AO15+AO18+AO21+AO24</x:f>
        <x:v>22</x:v>
      </x:c>
    </x:row>
    <x:row r="28" ht="13.800000190734863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</x:row>
    <x:row r="29" ht="19.950000762939453" customHeight="1">
      <x:c r="A29" s="126" t="str">
        <x:v>Dữ liệu giả lập. Mã sP/KP và KP/cP lần lượt được tính 0,5 ngày phép và 0,5 ngày nghỉ không phép.</x:v>
      </x:c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126"/>
      <x:c r="M29" s="126"/>
      <x:c r="N29" s="126"/>
      <x:c r="O29" s="126"/>
      <x:c r="P29" s="126"/>
      <x:c r="Q29" s="126"/>
      <x:c r="R29" s="126"/>
      <x:c r="S29" s="126"/>
      <x:c r="T29" s="126"/>
      <x:c r="U29" s="126"/>
      <x:c r="V29" s="126"/>
      <x:c r="W29" s="126"/>
      <x:c r="X29" s="126"/>
      <x:c r="Y29" s="126"/>
      <x:c r="Z29" s="126"/>
      <x:c r="AA29" s="126"/>
      <x:c r="AB29" s="126"/>
      <x:c r="AC29" s="126"/>
      <x:c r="AD29" s="126"/>
      <x:c r="AE29" s="126"/>
      <x:c r="AF29" s="126"/>
      <x:c r="AG29" s="126"/>
      <x:c r="AH29" s="126"/>
      <x:c r="AI29" s="126"/>
      <x:c r="AJ29" s="126"/>
      <x:c r="AK29" s="126"/>
      <x:c r="AL29" s="126"/>
      <x:c r="AM29" s="126"/>
      <x:c r="AN29" s="126"/>
      <x:c r="AO29" s="126"/>
    </x:row>
  </x:sheetData>
  <x:mergeCells>
    <x:mergeCell ref="A1:V1"/>
    <x:mergeCell ref="A2:V2"/>
    <x:mergeCell ref="A3:V3"/>
    <x:mergeCell ref="A5:AO5"/>
    <x:mergeCell ref="A6:AO6"/>
    <x:mergeCell ref="A8:L10"/>
    <x:mergeCell ref="M8:X10"/>
    <x:mergeCell ref="Y8:AO10"/>
    <x:mergeCell ref="A12:A14"/>
    <x:mergeCell ref="B12:B14"/>
    <x:mergeCell ref="C12:C14"/>
    <x:mergeCell ref="D12:D14"/>
    <x:mergeCell ref="E12:AI12"/>
    <x:mergeCell ref="AJ12:AJ14"/>
    <x:mergeCell ref="AK12:AK14"/>
    <x:mergeCell ref="AL12:AL14"/>
    <x:mergeCell ref="AM12:AM14"/>
    <x:mergeCell ref="AN12:AN14"/>
    <x:mergeCell ref="AO12:AO14"/>
    <x:mergeCell ref="AM15:AM17"/>
    <x:mergeCell ref="AN15:AN17"/>
    <x:mergeCell ref="AO15:AO17"/>
    <x:mergeCell ref="A18:A20"/>
    <x:mergeCell ref="B18:B20"/>
    <x:mergeCell ref="C18:C20"/>
    <x:mergeCell ref="AJ18:AJ20"/>
    <x:mergeCell ref="AK18:AK20"/>
    <x:mergeCell ref="AL18:AL20"/>
    <x:mergeCell ref="AM18:AM20"/>
    <x:mergeCell ref="AN18:AN20"/>
    <x:mergeCell ref="AO18:AO20"/>
    <x:mergeCell ref="A15:A17"/>
    <x:mergeCell ref="B15:B17"/>
    <x:mergeCell ref="C15:C17"/>
    <x:mergeCell ref="AJ15:AJ17"/>
    <x:mergeCell ref="B21:B23"/>
    <x:mergeCell ref="C21:C23"/>
    <x:mergeCell ref="AJ21:AJ23"/>
    <x:mergeCell ref="AK21:AK23"/>
    <x:mergeCell ref="AL15:AL17"/>
    <x:mergeCell ref="AK15:AK17"/>
    <x:mergeCell ref="A27:AI27"/>
    <x:mergeCell ref="A29:AO29"/>
    <x:mergeCell ref="AL21:AL23"/>
    <x:mergeCell ref="AM21:AM23"/>
    <x:mergeCell ref="AN21:AN23"/>
    <x:mergeCell ref="AO21:AO23"/>
    <x:mergeCell ref="A24:A26"/>
    <x:mergeCell ref="B24:B26"/>
    <x:mergeCell ref="C24:C26"/>
    <x:mergeCell ref="AJ24:AJ26"/>
    <x:mergeCell ref="AK24:AK26"/>
    <x:mergeCell ref="AL24:AL26"/>
    <x:mergeCell ref="AM24:AM26"/>
    <x:mergeCell ref="AN24:AN26"/>
    <x:mergeCell ref="AO24:AO26"/>
    <x:mergeCell ref="A21:A23"/>
  </x:mergeCells>
  <x:conditionalFormatting sqref="E15:AI15">
    <x:cfRule type="expression" dxfId="32" priority="33">
      <x:formula>E15="x"</x:formula>
    </x:cfRule>
    <x:cfRule type="expression" dxfId="33" priority="34">
      <x:formula>E15="P"</x:formula>
    </x:cfRule>
    <x:cfRule type="expression" dxfId="34" priority="35">
      <x:formula>E15="sP"</x:formula>
    </x:cfRule>
    <x:cfRule type="expression" dxfId="35" priority="36">
      <x:formula>E15="cP"</x:formula>
    </x:cfRule>
    <x:cfRule type="expression" dxfId="36" priority="37">
      <x:formula>E15="KP"</x:formula>
    </x:cfRule>
    <x:cfRule type="expression" dxfId="37" priority="38">
      <x:formula>E15="N0"</x:formula>
    </x:cfRule>
    <x:cfRule type="expression" dxfId="38" priority="39">
      <x:formula>E15="CL"</x:formula>
    </x:cfRule>
    <x:cfRule type="expression" dxfId="39" priority="40">
      <x:formula>E15="sP/KP"</x:formula>
    </x:cfRule>
    <x:cfRule type="expression" dxfId="40" priority="41">
      <x:formula>E15="KP/cP"</x:formula>
    </x:cfRule>
  </x:conditionalFormatting>
  <x:conditionalFormatting sqref="E16:AI16">
    <x:cfRule type="expression" dxfId="41" priority="42">
      <x:formula>AND(E16&gt;0.3645833333333333,E15&lt;&gt;"sP")</x:formula>
    </x:cfRule>
  </x:conditionalFormatting>
  <x:conditionalFormatting sqref="E18:AI18">
    <x:cfRule type="expression" dxfId="42" priority="43">
      <x:formula>E18="x"</x:formula>
    </x:cfRule>
    <x:cfRule type="expression" dxfId="43" priority="44">
      <x:formula>E18="P"</x:formula>
    </x:cfRule>
    <x:cfRule type="expression" dxfId="44" priority="45">
      <x:formula>E18="sP"</x:formula>
    </x:cfRule>
    <x:cfRule type="expression" dxfId="45" priority="46">
      <x:formula>E18="cP"</x:formula>
    </x:cfRule>
    <x:cfRule type="expression" dxfId="46" priority="47">
      <x:formula>E18="KP"</x:formula>
    </x:cfRule>
    <x:cfRule type="expression" dxfId="47" priority="48">
      <x:formula>E18="N0"</x:formula>
    </x:cfRule>
    <x:cfRule type="expression" dxfId="48" priority="49">
      <x:formula>E18="CL"</x:formula>
    </x:cfRule>
    <x:cfRule type="expression" dxfId="49" priority="50">
      <x:formula>E18="sP/KP"</x:formula>
    </x:cfRule>
    <x:cfRule type="expression" dxfId="50" priority="51">
      <x:formula>E18="KP/cP"</x:formula>
    </x:cfRule>
  </x:conditionalFormatting>
  <x:conditionalFormatting sqref="E19:AI19">
    <x:cfRule type="expression" dxfId="51" priority="52">
      <x:formula>AND(E19&gt;0.3645833333333333,E18&lt;&gt;"sP")</x:formula>
    </x:cfRule>
  </x:conditionalFormatting>
  <x:conditionalFormatting sqref="E21:AI21">
    <x:cfRule type="expression" dxfId="52" priority="53">
      <x:formula>E21="x"</x:formula>
    </x:cfRule>
    <x:cfRule type="expression" dxfId="53" priority="54">
      <x:formula>E21="P"</x:formula>
    </x:cfRule>
    <x:cfRule type="expression" dxfId="54" priority="55">
      <x:formula>E21="sP"</x:formula>
    </x:cfRule>
    <x:cfRule type="expression" dxfId="55" priority="56">
      <x:formula>E21="cP"</x:formula>
    </x:cfRule>
    <x:cfRule type="expression" dxfId="56" priority="57">
      <x:formula>E21="KP"</x:formula>
    </x:cfRule>
    <x:cfRule type="expression" dxfId="57" priority="58">
      <x:formula>E21="N0"</x:formula>
    </x:cfRule>
    <x:cfRule type="expression" dxfId="58" priority="59">
      <x:formula>E21="CL"</x:formula>
    </x:cfRule>
    <x:cfRule type="expression" dxfId="59" priority="60">
      <x:formula>E21="sP/KP"</x:formula>
    </x:cfRule>
    <x:cfRule type="expression" dxfId="60" priority="61">
      <x:formula>E21="KP/cP"</x:formula>
    </x:cfRule>
  </x:conditionalFormatting>
  <x:conditionalFormatting sqref="E22:AI22">
    <x:cfRule type="expression" dxfId="61" priority="62">
      <x:formula>AND(E22&gt;0.3645833333333333,E21&lt;&gt;"sP")</x:formula>
    </x:cfRule>
  </x:conditionalFormatting>
  <x:conditionalFormatting sqref="E24:AI24">
    <x:cfRule type="expression" dxfId="62" priority="63">
      <x:formula>E24="x"</x:formula>
    </x:cfRule>
    <x:cfRule type="expression" dxfId="63" priority="64">
      <x:formula>E24="P"</x:formula>
    </x:cfRule>
    <x:cfRule type="expression" dxfId="64" priority="65">
      <x:formula>E24="sP"</x:formula>
    </x:cfRule>
    <x:cfRule type="expression" dxfId="65" priority="66">
      <x:formula>E24="cP"</x:formula>
    </x:cfRule>
    <x:cfRule type="expression" dxfId="66" priority="67">
      <x:formula>E24="KP"</x:formula>
    </x:cfRule>
    <x:cfRule type="expression" dxfId="67" priority="68">
      <x:formula>E24="N0"</x:formula>
    </x:cfRule>
    <x:cfRule type="expression" dxfId="68" priority="69">
      <x:formula>E24="CL"</x:formula>
    </x:cfRule>
    <x:cfRule type="expression" dxfId="69" priority="70">
      <x:formula>E24="sP/KP"</x:formula>
    </x:cfRule>
    <x:cfRule type="expression" dxfId="70" priority="71">
      <x:formula>E24="KP/cP"</x:formula>
    </x:cfRule>
  </x:conditionalFormatting>
  <x:conditionalFormatting sqref="E25:AI25">
    <x:cfRule type="expression" dxfId="71" priority="72">
      <x:formula>AND(E25&gt;0.3645833333333333,E24&lt;&gt;"sP")</x:formula>
    </x:cfRule>
  </x:conditionalFormatting>
  <x:pageMargins left="0.7" right="0.7" top="0.75" bottom="0.75" header="0.3" footer="0.3"/>
</x:worksheet>
</file>